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AWEI\AppData\Local\Temp\"/>
    </mc:Choice>
  </mc:AlternateContent>
  <xr:revisionPtr revIDLastSave="0" documentId="13_ncr:1_{61962218-BCD1-46D6-BD38-44A41FCEDBF9}" xr6:coauthVersionLast="47" xr6:coauthVersionMax="47" xr10:uidLastSave="{00000000-0000-0000-0000-000000000000}"/>
  <bookViews>
    <workbookView xWindow="4080" yWindow="4080" windowWidth="19440" windowHeight="12660" firstSheet="1" activeTab="1" xr2:uid="{00000000-000D-0000-FFFF-FFFF00000000}"/>
  </bookViews>
  <sheets>
    <sheet name="Sheet1" sheetId="13" state="hidden" r:id="rId1"/>
    <sheet name="Sheet2" sheetId="14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8" i="13" l="1"/>
  <c r="I92" i="13"/>
  <c r="M87" i="13"/>
  <c r="M88" i="13" s="1"/>
  <c r="M89" i="13" s="1"/>
  <c r="M90" i="13" s="1"/>
  <c r="M91" i="13" s="1"/>
  <c r="S27" i="13"/>
  <c r="R27" i="13"/>
  <c r="Q27" i="13"/>
  <c r="P27" i="13"/>
  <c r="O27" i="13"/>
  <c r="N27" i="13"/>
  <c r="M27" i="13"/>
  <c r="AF26" i="13"/>
  <c r="Z26" i="13"/>
  <c r="Y26" i="13"/>
  <c r="X26" i="13"/>
  <c r="W26" i="13"/>
  <c r="V26" i="13"/>
  <c r="S26" i="13"/>
  <c r="R26" i="13"/>
  <c r="Q26" i="13"/>
  <c r="P26" i="13"/>
  <c r="O26" i="13"/>
  <c r="N26" i="13"/>
  <c r="M26" i="13"/>
  <c r="J26" i="13"/>
  <c r="I26" i="13"/>
  <c r="H26" i="13"/>
  <c r="G26" i="13"/>
  <c r="F26" i="13"/>
  <c r="E26" i="13"/>
  <c r="D26" i="13"/>
  <c r="AF25" i="13"/>
  <c r="Z25" i="13"/>
  <c r="X25" i="13"/>
  <c r="P25" i="13"/>
  <c r="N25" i="13"/>
  <c r="F25" i="13"/>
  <c r="D25" i="13"/>
  <c r="AF24" i="13"/>
  <c r="Z24" i="13"/>
  <c r="Y24" i="13"/>
  <c r="X24" i="13"/>
  <c r="W24" i="13"/>
  <c r="V24" i="13"/>
  <c r="S24" i="13"/>
  <c r="R24" i="13"/>
  <c r="Q24" i="13"/>
  <c r="P24" i="13"/>
  <c r="O24" i="13"/>
  <c r="N24" i="13"/>
  <c r="M24" i="13"/>
  <c r="J24" i="13"/>
  <c r="I24" i="13"/>
  <c r="H24" i="13"/>
  <c r="G24" i="13"/>
  <c r="F24" i="13"/>
  <c r="E24" i="13"/>
  <c r="D24" i="13"/>
  <c r="AF23" i="13"/>
  <c r="Z23" i="13"/>
  <c r="Y23" i="13"/>
  <c r="X23" i="13"/>
  <c r="W23" i="13"/>
  <c r="V23" i="13"/>
  <c r="S23" i="13"/>
  <c r="R23" i="13"/>
  <c r="Q23" i="13"/>
  <c r="P23" i="13"/>
  <c r="O23" i="13"/>
  <c r="N23" i="13"/>
  <c r="M23" i="13"/>
  <c r="J23" i="13"/>
  <c r="I23" i="13"/>
  <c r="H23" i="13"/>
  <c r="G23" i="13"/>
  <c r="F23" i="13"/>
  <c r="E23" i="13"/>
  <c r="D23" i="13"/>
  <c r="AF22" i="13"/>
  <c r="Z22" i="13"/>
  <c r="Y22" i="13"/>
  <c r="X22" i="13"/>
  <c r="W22" i="13"/>
  <c r="V22" i="13"/>
  <c r="S22" i="13"/>
  <c r="R22" i="13"/>
  <c r="Q22" i="13"/>
  <c r="P22" i="13"/>
  <c r="O22" i="13"/>
  <c r="N22" i="13"/>
  <c r="M22" i="13"/>
  <c r="J22" i="13"/>
  <c r="I22" i="13"/>
  <c r="H22" i="13"/>
  <c r="G22" i="13"/>
  <c r="F22" i="13"/>
  <c r="E22" i="13"/>
  <c r="D22" i="13"/>
  <c r="AF21" i="13"/>
  <c r="Z21" i="13"/>
  <c r="Y21" i="13"/>
  <c r="X21" i="13"/>
  <c r="W21" i="13"/>
  <c r="V21" i="13"/>
  <c r="S21" i="13"/>
  <c r="R21" i="13"/>
  <c r="Q21" i="13"/>
  <c r="P21" i="13"/>
  <c r="O21" i="13"/>
  <c r="N21" i="13"/>
  <c r="M21" i="13"/>
  <c r="J21" i="13"/>
  <c r="I21" i="13"/>
  <c r="H21" i="13"/>
  <c r="G21" i="13"/>
  <c r="F21" i="13"/>
  <c r="E21" i="13"/>
  <c r="D21" i="13"/>
  <c r="AF20" i="13"/>
  <c r="Z20" i="13"/>
  <c r="Y20" i="13"/>
  <c r="X20" i="13"/>
  <c r="W20" i="13"/>
  <c r="V20" i="13"/>
  <c r="S20" i="13"/>
  <c r="R20" i="13"/>
  <c r="Q20" i="13"/>
  <c r="P20" i="13"/>
  <c r="O20" i="13"/>
  <c r="N20" i="13"/>
  <c r="M20" i="13"/>
  <c r="J20" i="13"/>
  <c r="I20" i="13"/>
  <c r="H20" i="13"/>
  <c r="G20" i="13"/>
  <c r="F20" i="13"/>
  <c r="E20" i="13"/>
  <c r="D20" i="13"/>
  <c r="AF19" i="13"/>
  <c r="Z19" i="13"/>
  <c r="Y19" i="13"/>
  <c r="X19" i="13"/>
  <c r="W19" i="13"/>
  <c r="V19" i="13"/>
  <c r="S19" i="13"/>
  <c r="R19" i="13"/>
  <c r="Q19" i="13"/>
  <c r="P19" i="13"/>
  <c r="O19" i="13"/>
  <c r="N19" i="13"/>
  <c r="M19" i="13"/>
  <c r="J19" i="13"/>
  <c r="I19" i="13"/>
  <c r="H19" i="13"/>
  <c r="G19" i="13"/>
  <c r="F19" i="13"/>
  <c r="E19" i="13"/>
  <c r="D19" i="13"/>
  <c r="AF18" i="13"/>
  <c r="Z18" i="13"/>
  <c r="Y18" i="13"/>
  <c r="X18" i="13"/>
  <c r="W18" i="13"/>
  <c r="V18" i="13"/>
  <c r="S18" i="13"/>
  <c r="R18" i="13"/>
  <c r="Q18" i="13"/>
  <c r="P18" i="13"/>
  <c r="O18" i="13"/>
  <c r="N18" i="13"/>
  <c r="M18" i="13"/>
  <c r="J18" i="13"/>
  <c r="I18" i="13"/>
  <c r="H18" i="13"/>
  <c r="G18" i="13"/>
  <c r="F18" i="13"/>
  <c r="E18" i="13"/>
  <c r="D18" i="13"/>
  <c r="AF17" i="13"/>
  <c r="Z17" i="13"/>
  <c r="Y17" i="13"/>
  <c r="X17" i="13"/>
  <c r="W17" i="13"/>
  <c r="V17" i="13"/>
  <c r="S17" i="13"/>
  <c r="R17" i="13"/>
  <c r="Q17" i="13"/>
  <c r="P17" i="13"/>
  <c r="O17" i="13"/>
  <c r="N17" i="13"/>
  <c r="M17" i="13"/>
  <c r="J17" i="13"/>
  <c r="I17" i="13"/>
  <c r="H17" i="13"/>
  <c r="G17" i="13"/>
  <c r="F17" i="13"/>
  <c r="E17" i="13"/>
  <c r="D17" i="13"/>
  <c r="AF16" i="13"/>
  <c r="Z16" i="13"/>
  <c r="Z29" i="13" s="1"/>
  <c r="Z30" i="13" s="1"/>
  <c r="Z31" i="13" s="1"/>
  <c r="Z32" i="13" s="1"/>
  <c r="Z33" i="13" s="1"/>
  <c r="Z34" i="13" s="1"/>
  <c r="Z35" i="13" s="1"/>
  <c r="Z36" i="13" s="1"/>
  <c r="Z37" i="13" s="1"/>
  <c r="Z38" i="13" s="1"/>
  <c r="Y16" i="13"/>
  <c r="X16" i="13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W16" i="13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V16" i="13"/>
  <c r="V29" i="13" s="1"/>
  <c r="V30" i="13" s="1"/>
  <c r="V31" i="13" s="1"/>
  <c r="V32" i="13" s="1"/>
  <c r="V33" i="13" s="1"/>
  <c r="V34" i="13" s="1"/>
  <c r="V35" i="13" s="1"/>
  <c r="V36" i="13" s="1"/>
  <c r="V37" i="13" s="1"/>
  <c r="V38" i="13" s="1"/>
  <c r="S16" i="13"/>
  <c r="S29" i="13" s="1"/>
  <c r="S30" i="13" s="1"/>
  <c r="S31" i="13" s="1"/>
  <c r="S32" i="13" s="1"/>
  <c r="S33" i="13" s="1"/>
  <c r="S34" i="13" s="1"/>
  <c r="S35" i="13" s="1"/>
  <c r="S36" i="13" s="1"/>
  <c r="S37" i="13" s="1"/>
  <c r="S38" i="13" s="1"/>
  <c r="R16" i="13"/>
  <c r="R29" i="13" s="1"/>
  <c r="R30" i="13" s="1"/>
  <c r="R31" i="13" s="1"/>
  <c r="R32" i="13" s="1"/>
  <c r="R33" i="13" s="1"/>
  <c r="R34" i="13" s="1"/>
  <c r="R35" i="13" s="1"/>
  <c r="R36" i="13" s="1"/>
  <c r="R37" i="13" s="1"/>
  <c r="Q16" i="13"/>
  <c r="P16" i="13"/>
  <c r="P29" i="13" s="1"/>
  <c r="P30" i="13" s="1"/>
  <c r="P31" i="13" s="1"/>
  <c r="P32" i="13" s="1"/>
  <c r="P33" i="13" s="1"/>
  <c r="P34" i="13" s="1"/>
  <c r="P35" i="13" s="1"/>
  <c r="P36" i="13" s="1"/>
  <c r="P37" i="13" s="1"/>
  <c r="P38" i="13" s="1"/>
  <c r="O16" i="13"/>
  <c r="N16" i="13"/>
  <c r="N29" i="13" s="1"/>
  <c r="N30" i="13" s="1"/>
  <c r="N31" i="13" s="1"/>
  <c r="N32" i="13" s="1"/>
  <c r="N33" i="13" s="1"/>
  <c r="N34" i="13" s="1"/>
  <c r="N35" i="13" s="1"/>
  <c r="N36" i="13" s="1"/>
  <c r="N37" i="13" s="1"/>
  <c r="N38" i="13" s="1"/>
  <c r="M16" i="13"/>
  <c r="M29" i="13" s="1"/>
  <c r="M30" i="13" s="1"/>
  <c r="M31" i="13" s="1"/>
  <c r="M32" i="13" s="1"/>
  <c r="M33" i="13" s="1"/>
  <c r="M34" i="13" s="1"/>
  <c r="M35" i="13" s="1"/>
  <c r="M36" i="13" s="1"/>
  <c r="M37" i="13" s="1"/>
  <c r="M38" i="13" s="1"/>
  <c r="J16" i="13"/>
  <c r="J29" i="13" s="1"/>
  <c r="J30" i="13" s="1"/>
  <c r="J31" i="13" s="1"/>
  <c r="J32" i="13" s="1"/>
  <c r="J33" i="13" s="1"/>
  <c r="J34" i="13" s="1"/>
  <c r="J35" i="13" s="1"/>
  <c r="J36" i="13" s="1"/>
  <c r="J37" i="13" s="1"/>
  <c r="J38" i="13" s="1"/>
  <c r="J39" i="13" s="1"/>
  <c r="I16" i="13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H16" i="13"/>
  <c r="H29" i="13" s="1"/>
  <c r="H30" i="13" s="1"/>
  <c r="H31" i="13" s="1"/>
  <c r="H32" i="13" s="1"/>
  <c r="H33" i="13" s="1"/>
  <c r="H34" i="13" s="1"/>
  <c r="H35" i="13" s="1"/>
  <c r="H36" i="13" s="1"/>
  <c r="H37" i="13" s="1"/>
  <c r="G16" i="13"/>
  <c r="F16" i="13"/>
  <c r="F29" i="13" s="1"/>
  <c r="F30" i="13" s="1"/>
  <c r="F31" i="13" s="1"/>
  <c r="F32" i="13" s="1"/>
  <c r="F33" i="13" s="1"/>
  <c r="F34" i="13" s="1"/>
  <c r="F35" i="13" s="1"/>
  <c r="F36" i="13" s="1"/>
  <c r="F37" i="13" s="1"/>
  <c r="F38" i="13" s="1"/>
  <c r="F39" i="13" s="1"/>
  <c r="E16" i="13"/>
  <c r="D16" i="13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AF15" i="13"/>
  <c r="AF29" i="13" s="1"/>
  <c r="AF30" i="13" s="1"/>
  <c r="AF31" i="13" s="1"/>
  <c r="AF32" i="13" s="1"/>
  <c r="AF33" i="13" s="1"/>
  <c r="AF34" i="13" s="1"/>
  <c r="AF35" i="13" s="1"/>
  <c r="AF36" i="13" s="1"/>
  <c r="AF37" i="13" s="1"/>
  <c r="AF38" i="13" s="1"/>
  <c r="Z15" i="13"/>
  <c r="Y15" i="13"/>
  <c r="Y29" i="13" s="1"/>
  <c r="Y30" i="13" s="1"/>
  <c r="Y31" i="13" s="1"/>
  <c r="Y32" i="13" s="1"/>
  <c r="Y33" i="13" s="1"/>
  <c r="Y34" i="13" s="1"/>
  <c r="Y35" i="13" s="1"/>
  <c r="Y36" i="13" s="1"/>
  <c r="Y37" i="13" s="1"/>
  <c r="Y38" i="13" s="1"/>
  <c r="X15" i="13"/>
  <c r="W15" i="13"/>
  <c r="V15" i="13"/>
  <c r="S15" i="13"/>
  <c r="R15" i="13"/>
  <c r="Q15" i="13"/>
  <c r="Q29" i="13" s="1"/>
  <c r="Q30" i="13" s="1"/>
  <c r="Q31" i="13" s="1"/>
  <c r="Q32" i="13" s="1"/>
  <c r="Q33" i="13" s="1"/>
  <c r="Q34" i="13" s="1"/>
  <c r="Q35" i="13" s="1"/>
  <c r="Q36" i="13" s="1"/>
  <c r="Q37" i="13" s="1"/>
  <c r="P15" i="13"/>
  <c r="O15" i="13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N15" i="13"/>
  <c r="M15" i="13"/>
  <c r="J15" i="13"/>
  <c r="I15" i="13"/>
  <c r="H15" i="13"/>
  <c r="G15" i="13"/>
  <c r="G29" i="13" s="1"/>
  <c r="G30" i="13" s="1"/>
  <c r="G31" i="13" s="1"/>
  <c r="G32" i="13" s="1"/>
  <c r="G33" i="13" s="1"/>
  <c r="G34" i="13" s="1"/>
  <c r="G35" i="13" s="1"/>
  <c r="G36" i="13" s="1"/>
  <c r="G37" i="13" s="1"/>
  <c r="F15" i="13"/>
  <c r="E15" i="13"/>
  <c r="E29" i="13" s="1"/>
  <c r="E30" i="13" s="1"/>
  <c r="E31" i="13" s="1"/>
  <c r="E32" i="13" s="1"/>
  <c r="E33" i="13" s="1"/>
  <c r="E34" i="13" s="1"/>
  <c r="E35" i="13" s="1"/>
  <c r="E36" i="13" s="1"/>
  <c r="E37" i="13" s="1"/>
  <c r="E38" i="13" s="1"/>
  <c r="E39" i="13" s="1"/>
  <c r="D15" i="13"/>
  <c r="Z12" i="13"/>
  <c r="Y12" i="13"/>
  <c r="Y25" i="13" s="1"/>
  <c r="X12" i="13"/>
  <c r="W12" i="13"/>
  <c r="W25" i="13" s="1"/>
  <c r="V12" i="13"/>
  <c r="V25" i="13" s="1"/>
  <c r="S12" i="13"/>
  <c r="S25" i="13" s="1"/>
  <c r="R12" i="13"/>
  <c r="R25" i="13" s="1"/>
  <c r="Q12" i="13"/>
  <c r="Q25" i="13" s="1"/>
  <c r="P12" i="13"/>
  <c r="O12" i="13"/>
  <c r="O25" i="13" s="1"/>
  <c r="N12" i="13"/>
  <c r="M12" i="13"/>
  <c r="M25" i="13" s="1"/>
  <c r="J12" i="13"/>
  <c r="J25" i="13" s="1"/>
  <c r="I12" i="13"/>
  <c r="I25" i="13" s="1"/>
  <c r="H12" i="13"/>
  <c r="H25" i="13" s="1"/>
  <c r="G12" i="13"/>
  <c r="G25" i="13" s="1"/>
  <c r="F12" i="13"/>
  <c r="E12" i="13"/>
  <c r="E25" i="13" s="1"/>
  <c r="D12" i="13"/>
  <c r="G38" i="13" l="1"/>
  <c r="G39" i="13" s="1"/>
  <c r="Q38" i="13"/>
  <c r="H38" i="13"/>
  <c r="H39" i="13" s="1"/>
  <c r="R38" i="13"/>
</calcChain>
</file>

<file path=xl/sharedStrings.xml><?xml version="1.0" encoding="utf-8"?>
<sst xmlns="http://schemas.openxmlformats.org/spreadsheetml/2006/main" count="72" uniqueCount="30">
  <si>
    <t>d=9.5</t>
  </si>
  <si>
    <t>d=10</t>
  </si>
  <si>
    <t>d=10.5</t>
  </si>
  <si>
    <t>d=11</t>
  </si>
  <si>
    <t>d=11.5</t>
  </si>
  <si>
    <t>d=12</t>
  </si>
  <si>
    <t>d=12.5</t>
  </si>
  <si>
    <r>
      <rPr>
        <sz val="11"/>
        <color theme="1"/>
        <rFont val="Arial"/>
        <family val="2"/>
      </rPr>
      <t>θ</t>
    </r>
    <r>
      <rPr>
        <sz val="11"/>
        <color theme="1"/>
        <rFont val="宋体"/>
        <family val="2"/>
        <charset val="162"/>
        <scheme val="minor"/>
      </rPr>
      <t>=12.5</t>
    </r>
  </si>
  <si>
    <r>
      <rPr>
        <sz val="11"/>
        <color theme="1"/>
        <rFont val="Arial"/>
        <family val="2"/>
      </rPr>
      <t>θ</t>
    </r>
    <r>
      <rPr>
        <sz val="11"/>
        <color theme="1"/>
        <rFont val="宋体"/>
        <family val="2"/>
        <charset val="162"/>
        <scheme val="minor"/>
      </rPr>
      <t>=13</t>
    </r>
  </si>
  <si>
    <r>
      <rPr>
        <sz val="11"/>
        <color theme="1"/>
        <rFont val="Arial"/>
        <family val="2"/>
      </rPr>
      <t>θ</t>
    </r>
    <r>
      <rPr>
        <sz val="11"/>
        <color theme="1"/>
        <rFont val="宋体"/>
        <family val="2"/>
        <charset val="162"/>
        <scheme val="minor"/>
      </rPr>
      <t>=13.5</t>
    </r>
  </si>
  <si>
    <r>
      <rPr>
        <sz val="11"/>
        <color theme="1"/>
        <rFont val="Arial"/>
        <family val="2"/>
      </rPr>
      <t>θ</t>
    </r>
    <r>
      <rPr>
        <sz val="11"/>
        <color theme="1"/>
        <rFont val="宋体"/>
        <family val="2"/>
        <charset val="162"/>
        <scheme val="minor"/>
      </rPr>
      <t>=14</t>
    </r>
  </si>
  <si>
    <r>
      <rPr>
        <sz val="11"/>
        <color theme="1"/>
        <rFont val="Arial"/>
        <family val="2"/>
      </rPr>
      <t>θ</t>
    </r>
    <r>
      <rPr>
        <sz val="11"/>
        <color theme="1"/>
        <rFont val="宋体"/>
        <family val="2"/>
        <charset val="162"/>
        <scheme val="minor"/>
      </rPr>
      <t>=14.5</t>
    </r>
  </si>
  <si>
    <r>
      <rPr>
        <sz val="11"/>
        <color theme="1"/>
        <rFont val="Arial"/>
        <family val="2"/>
      </rPr>
      <t>θ</t>
    </r>
    <r>
      <rPr>
        <sz val="11"/>
        <color theme="1"/>
        <rFont val="宋体"/>
        <family val="2"/>
        <charset val="162"/>
        <scheme val="minor"/>
      </rPr>
      <t>=15</t>
    </r>
  </si>
  <si>
    <r>
      <rPr>
        <sz val="11"/>
        <color theme="1"/>
        <rFont val="Arial"/>
        <family val="2"/>
      </rPr>
      <t>θ</t>
    </r>
    <r>
      <rPr>
        <sz val="11"/>
        <color theme="1"/>
        <rFont val="宋体"/>
        <family val="2"/>
        <charset val="162"/>
        <scheme val="minor"/>
      </rPr>
      <t>=15.5</t>
    </r>
  </si>
  <si>
    <t>m=2</t>
  </si>
  <si>
    <t>m=3</t>
  </si>
  <si>
    <t>m=4</t>
  </si>
  <si>
    <t>m=5</t>
  </si>
  <si>
    <t>m=6</t>
  </si>
  <si>
    <t>6-10</t>
  </si>
  <si>
    <t>—20</t>
  </si>
  <si>
    <t>—30</t>
  </si>
  <si>
    <t>—40</t>
  </si>
  <si>
    <t>—50</t>
  </si>
  <si>
    <t>—60</t>
  </si>
  <si>
    <t>&gt;60</t>
  </si>
  <si>
    <t>60+</t>
  </si>
  <si>
    <t>X值</t>
  </si>
  <si>
    <t>3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</si>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</sst>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Arial"/>
      <family val="2"/>
    </font>
    <font>
      <sz val="10.5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1" fillId="0" borderId="0" xfId="1" applyAlignment="1">
      <alignment horizontal="center"/>
    </xf>
    <xf numFmtId="49" fontId="1" fillId="0" borderId="0" xfId="1" applyNumberFormat="1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justify"/>
    </xf>
    <xf numFmtId="0" fontId="1" fillId="0" borderId="0" xfId="1"/>
  </cellXfs>
  <cellStyles count="2">
    <cellStyle name="常规" xfId="0" builtinId="0"/>
    <cellStyle name="常规 2" xfId="1" xr:uid="{086638D3-FF7C-4B48-8423-9908F30EEC7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Sheet1!$H$86:$H$92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xVal>
          <c:yVal>
            <c:numRef>
              <c:f>Sheet1!$I$86:$I$92</c:f>
              <c:numCache>
                <c:formatCode>General</c:formatCode>
                <c:ptCount val="7"/>
                <c:pt idx="0">
                  <c:v>0.71889999999999998</c:v>
                </c:pt>
                <c:pt idx="1">
                  <c:v>7.8E-2</c:v>
                </c:pt>
                <c:pt idx="2">
                  <c:v>1.9E-2</c:v>
                </c:pt>
                <c:pt idx="3">
                  <c:v>6.0000000000000001E-3</c:v>
                </c:pt>
                <c:pt idx="4">
                  <c:v>8.4000000000000005E-2</c:v>
                </c:pt>
                <c:pt idx="5">
                  <c:v>8.4000000000000005E-2</c:v>
                </c:pt>
                <c:pt idx="6">
                  <c:v>1.0100000000000109E-2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94F-8620-FA8E89C29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420622"/>
        <c:axId val="565053337"/>
      </c:scatterChart>
      <c:valAx>
        <c:axId val="974420622"/>
        <c:scaling>
          <c:orientation val="minMax"/>
          <c:max val="52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重复次数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5053337"/>
        <c:crosses val="autoZero"/>
        <c:crossBetween val="midCat"/>
      </c:valAx>
      <c:valAx>
        <c:axId val="565053337"/>
        <c:scaling>
          <c:orientation val="minMax"/>
          <c:max val="0.75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占比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42062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9-4A2B-88A9-9952F2142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419-4A2B-88A9-9952F2142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19-4A2B-88A9-9952F2142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419-4A2B-88A9-9952F2142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419-4A2B-88A9-9952F214260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419-4A2B-88A9-9952F214260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419-4A2B-88A9-9952F21426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Sheet1!$H$86:$H$92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Sheet1!$I$86:$I$92</c:f>
              <c:numCache>
                <c:formatCode>General</c:formatCode>
                <c:ptCount val="7"/>
                <c:pt idx="0">
                  <c:v>0.71889999999999998</c:v>
                </c:pt>
                <c:pt idx="1">
                  <c:v>7.8E-2</c:v>
                </c:pt>
                <c:pt idx="2">
                  <c:v>1.9E-2</c:v>
                </c:pt>
                <c:pt idx="3">
                  <c:v>6.0000000000000001E-3</c:v>
                </c:pt>
                <c:pt idx="4">
                  <c:v>8.4000000000000005E-2</c:v>
                </c:pt>
                <c:pt idx="5">
                  <c:v>8.4000000000000005E-2</c:v>
                </c:pt>
                <c:pt idx="6">
                  <c:v>1.0100000000000109E-2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19-4A2B-88A9-9952F21426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111111111111105E-2"/>
          <c:y val="6.7129629629629595E-2"/>
          <c:w val="0.90102777777777798"/>
          <c:h val="0.8371296296296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Sheet1!$L$85:$L$92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Sheet1!$M$85:$M$92</c:f>
              <c:numCache>
                <c:formatCode>General</c:formatCode>
                <c:ptCount val="8"/>
                <c:pt idx="0">
                  <c:v>0</c:v>
                </c:pt>
                <c:pt idx="1">
                  <c:v>0.71889999999999998</c:v>
                </c:pt>
                <c:pt idx="2">
                  <c:v>0.79689999999999994</c:v>
                </c:pt>
                <c:pt idx="3">
                  <c:v>0.81589999999999996</c:v>
                </c:pt>
                <c:pt idx="4">
                  <c:v>0.82189999999999996</c:v>
                </c:pt>
                <c:pt idx="5">
                  <c:v>0.90589999999999993</c:v>
                </c:pt>
                <c:pt idx="6">
                  <c:v>0.98989999999999989</c:v>
                </c:pt>
                <c:pt idx="7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B8-4E95-AB1D-D531561A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6997"/>
        <c:axId val="238647144"/>
      </c:scatterChart>
      <c:valAx>
        <c:axId val="969726997"/>
        <c:scaling>
          <c:orientation val="minMax"/>
          <c:max val="62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8647144"/>
        <c:crosses val="autoZero"/>
        <c:crossBetween val="midCat"/>
        <c:majorUnit val="10"/>
      </c:valAx>
      <c:valAx>
        <c:axId val="238647144"/>
        <c:scaling>
          <c:orientation val="minMax"/>
          <c:max val="1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726997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769473759781803E-2"/>
          <c:y val="9.0368608799048705E-2"/>
          <c:w val="0.93240002871706495"/>
          <c:h val="0.7963614744351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Sheet1!$D$43</c:f>
              <c:strCache>
                <c:ptCount val="1"/>
                <c:pt idx="0">
                  <c:v>d=9.5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Sheet1!$C$44:$C$55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Sheet1!$D$44:$D$55</c:f>
              <c:numCache>
                <c:formatCode>General</c:formatCode>
                <c:ptCount val="12"/>
                <c:pt idx="0">
                  <c:v>0</c:v>
                </c:pt>
                <c:pt idx="1">
                  <c:v>0.25806451612903197</c:v>
                </c:pt>
                <c:pt idx="2">
                  <c:v>0.4</c:v>
                </c:pt>
                <c:pt idx="3">
                  <c:v>0.445161290322581</c:v>
                </c:pt>
                <c:pt idx="4">
                  <c:v>0.51612903225806495</c:v>
                </c:pt>
                <c:pt idx="5">
                  <c:v>0.52258064516128999</c:v>
                </c:pt>
                <c:pt idx="6">
                  <c:v>0.59354838709677404</c:v>
                </c:pt>
                <c:pt idx="7">
                  <c:v>0.70967741935483897</c:v>
                </c:pt>
                <c:pt idx="8">
                  <c:v>0.80645161290322698</c:v>
                </c:pt>
                <c:pt idx="9">
                  <c:v>0.85806451612903301</c:v>
                </c:pt>
                <c:pt idx="10">
                  <c:v>0.90322580645161399</c:v>
                </c:pt>
                <c:pt idx="11">
                  <c:v>0.967741935483872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16-4624-BA89-C8BDE3DF6E90}"/>
            </c:ext>
          </c:extLst>
        </c:ser>
        <c:ser>
          <c:idx val="1"/>
          <c:order val="1"/>
          <c:tx>
            <c:strRef>
              <c:f>Sheet1!$E$43</c:f>
              <c:strCache>
                <c:ptCount val="1"/>
                <c:pt idx="0">
                  <c:v>d=10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Sheet1!$C$44:$C$55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Sheet1!$E$44:$E$55</c:f>
              <c:numCache>
                <c:formatCode>General</c:formatCode>
                <c:ptCount val="12"/>
                <c:pt idx="0">
                  <c:v>0</c:v>
                </c:pt>
                <c:pt idx="1">
                  <c:v>0.28387096774193499</c:v>
                </c:pt>
                <c:pt idx="2">
                  <c:v>0.41935483870967699</c:v>
                </c:pt>
                <c:pt idx="3">
                  <c:v>0.46451612903225797</c:v>
                </c:pt>
                <c:pt idx="4">
                  <c:v>0.52258064516128999</c:v>
                </c:pt>
                <c:pt idx="5">
                  <c:v>0.53548387096774197</c:v>
                </c:pt>
                <c:pt idx="6">
                  <c:v>0.60645161290322602</c:v>
                </c:pt>
                <c:pt idx="7">
                  <c:v>0.72903225806451599</c:v>
                </c:pt>
                <c:pt idx="8">
                  <c:v>0.80645161290322598</c:v>
                </c:pt>
                <c:pt idx="9">
                  <c:v>0.87741935483871003</c:v>
                </c:pt>
                <c:pt idx="10">
                  <c:v>0.90967741935483903</c:v>
                </c:pt>
                <c:pt idx="11">
                  <c:v>0.97419354838709704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16-4624-BA89-C8BDE3DF6E90}"/>
            </c:ext>
          </c:extLst>
        </c:ser>
        <c:ser>
          <c:idx val="2"/>
          <c:order val="2"/>
          <c:tx>
            <c:strRef>
              <c:f>Sheet1!$F$43</c:f>
              <c:strCache>
                <c:ptCount val="1"/>
                <c:pt idx="0">
                  <c:v>d=10.5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Sheet1!$C$44:$C$55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Sheet1!$F$44:$F$55</c:f>
              <c:numCache>
                <c:formatCode>General</c:formatCode>
                <c:ptCount val="12"/>
                <c:pt idx="0">
                  <c:v>0</c:v>
                </c:pt>
                <c:pt idx="1">
                  <c:v>0.29032258064516098</c:v>
                </c:pt>
                <c:pt idx="2">
                  <c:v>0.46451612903225797</c:v>
                </c:pt>
                <c:pt idx="3">
                  <c:v>0.51612903225806495</c:v>
                </c:pt>
                <c:pt idx="4">
                  <c:v>0.56129032258064504</c:v>
                </c:pt>
                <c:pt idx="5">
                  <c:v>0.61290322580645196</c:v>
                </c:pt>
                <c:pt idx="6">
                  <c:v>0.69032258064516205</c:v>
                </c:pt>
                <c:pt idx="7">
                  <c:v>0.74193548387096797</c:v>
                </c:pt>
                <c:pt idx="8">
                  <c:v>0.85161290322580696</c:v>
                </c:pt>
                <c:pt idx="9">
                  <c:v>0.87096774193548399</c:v>
                </c:pt>
                <c:pt idx="10">
                  <c:v>0.93548387096774299</c:v>
                </c:pt>
                <c:pt idx="11">
                  <c:v>0.99354838709677495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16-4624-BA89-C8BDE3DF6E90}"/>
            </c:ext>
          </c:extLst>
        </c:ser>
        <c:ser>
          <c:idx val="3"/>
          <c:order val="3"/>
          <c:tx>
            <c:strRef>
              <c:f>Sheet1!$G$43</c:f>
              <c:strCache>
                <c:ptCount val="1"/>
                <c:pt idx="0">
                  <c:v>d=11</c:v>
                </c:pt>
              </c:strCache>
            </c:strRef>
          </c:tx>
          <c:spPr>
            <a:ln w="12700" cap="rnd" cmpd="sng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Sheet1!$C$44:$C$55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Sheet1!$G$44:$G$55</c:f>
              <c:numCache>
                <c:formatCode>General</c:formatCode>
                <c:ptCount val="12"/>
                <c:pt idx="0">
                  <c:v>0</c:v>
                </c:pt>
                <c:pt idx="1">
                  <c:v>0.33548387096774201</c:v>
                </c:pt>
                <c:pt idx="2">
                  <c:v>0.483870967741935</c:v>
                </c:pt>
                <c:pt idx="3">
                  <c:v>0.54838709677419395</c:v>
                </c:pt>
                <c:pt idx="4">
                  <c:v>0.619354838709677</c:v>
                </c:pt>
                <c:pt idx="5">
                  <c:v>0.64516129032258096</c:v>
                </c:pt>
                <c:pt idx="6">
                  <c:v>0.73548387096774204</c:v>
                </c:pt>
                <c:pt idx="7">
                  <c:v>0.793548387096774</c:v>
                </c:pt>
                <c:pt idx="8">
                  <c:v>0.84516129032258103</c:v>
                </c:pt>
                <c:pt idx="9">
                  <c:v>0.92258064516129001</c:v>
                </c:pt>
                <c:pt idx="10">
                  <c:v>0.967741935483871</c:v>
                </c:pt>
                <c:pt idx="11">
                  <c:v>0.98709677419354802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16-4624-BA89-C8BDE3DF6E90}"/>
            </c:ext>
          </c:extLst>
        </c:ser>
        <c:ser>
          <c:idx val="4"/>
          <c:order val="4"/>
          <c:tx>
            <c:strRef>
              <c:f>Sheet1!$H$43</c:f>
              <c:strCache>
                <c:ptCount val="1"/>
                <c:pt idx="0">
                  <c:v>d=11.5</c:v>
                </c:pt>
              </c:strCache>
            </c:strRef>
          </c:tx>
          <c:spPr>
            <a:ln w="28575" cap="rnd" cmpd="dbl">
              <a:solidFill>
                <a:schemeClr val="accent5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Sheet1!$C$44:$C$55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Sheet1!$H$44:$H$55</c:f>
              <c:numCache>
                <c:formatCode>General</c:formatCode>
                <c:ptCount val="12"/>
                <c:pt idx="0">
                  <c:v>0</c:v>
                </c:pt>
                <c:pt idx="1">
                  <c:v>0.309677419354839</c:v>
                </c:pt>
                <c:pt idx="2">
                  <c:v>0.46451612903225797</c:v>
                </c:pt>
                <c:pt idx="3">
                  <c:v>0.52258064516128999</c:v>
                </c:pt>
                <c:pt idx="4">
                  <c:v>0.59354838709677404</c:v>
                </c:pt>
                <c:pt idx="5">
                  <c:v>0.64516129032257996</c:v>
                </c:pt>
                <c:pt idx="6">
                  <c:v>0.72903225806451599</c:v>
                </c:pt>
                <c:pt idx="7">
                  <c:v>0.761290322580645</c:v>
                </c:pt>
                <c:pt idx="8">
                  <c:v>0.83870967741935498</c:v>
                </c:pt>
                <c:pt idx="9">
                  <c:v>0.85161290322580596</c:v>
                </c:pt>
                <c:pt idx="10">
                  <c:v>0.88387096774193497</c:v>
                </c:pt>
                <c:pt idx="11">
                  <c:v>0.97419354838709604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16-4624-BA89-C8BDE3DF6E90}"/>
            </c:ext>
          </c:extLst>
        </c:ser>
        <c:ser>
          <c:idx val="5"/>
          <c:order val="5"/>
          <c:tx>
            <c:strRef>
              <c:f>Sheet1!$I$43</c:f>
              <c:strCache>
                <c:ptCount val="1"/>
                <c:pt idx="0">
                  <c:v>d=12</c:v>
                </c:pt>
              </c:strCache>
            </c:strRef>
          </c:tx>
          <c:spPr>
            <a:ln w="28575" cap="rnd" cmpd="sng">
              <a:solidFill>
                <a:schemeClr val="accent6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Sheet1!$C$44:$C$55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Sheet1!$I$44:$I$55</c:f>
              <c:numCache>
                <c:formatCode>General</c:formatCode>
                <c:ptCount val="12"/>
                <c:pt idx="0">
                  <c:v>0</c:v>
                </c:pt>
                <c:pt idx="1">
                  <c:v>0.29032258064516098</c:v>
                </c:pt>
                <c:pt idx="2">
                  <c:v>0.445161290322581</c:v>
                </c:pt>
                <c:pt idx="3">
                  <c:v>0.50322580645161297</c:v>
                </c:pt>
                <c:pt idx="4">
                  <c:v>0.56129032258064504</c:v>
                </c:pt>
                <c:pt idx="5">
                  <c:v>0.63225806451612898</c:v>
                </c:pt>
                <c:pt idx="6">
                  <c:v>0.72903225806451599</c:v>
                </c:pt>
                <c:pt idx="7">
                  <c:v>0.761290322580645</c:v>
                </c:pt>
                <c:pt idx="8">
                  <c:v>0.78064516129032302</c:v>
                </c:pt>
                <c:pt idx="9">
                  <c:v>0.84516129032258103</c:v>
                </c:pt>
                <c:pt idx="10">
                  <c:v>0.88387096774193596</c:v>
                </c:pt>
                <c:pt idx="11">
                  <c:v>0.97419354838709704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16-4624-BA89-C8BDE3DF6E90}"/>
            </c:ext>
          </c:extLst>
        </c:ser>
        <c:ser>
          <c:idx val="6"/>
          <c:order val="6"/>
          <c:tx>
            <c:strRef>
              <c:f>Sheet1!$J$43</c:f>
              <c:strCache>
                <c:ptCount val="1"/>
                <c:pt idx="0">
                  <c:v>d=12.5</c:v>
                </c:pt>
              </c:strCache>
            </c:strRef>
          </c:tx>
          <c:spPr>
            <a:ln w="28575" cap="rnd" cmpd="sng">
              <a:solidFill>
                <a:schemeClr val="accent1">
                  <a:lumMod val="60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Sheet1!$C$44:$C$55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Sheet1!$J$44:$J$55</c:f>
              <c:numCache>
                <c:formatCode>General</c:formatCode>
                <c:ptCount val="12"/>
                <c:pt idx="0">
                  <c:v>0</c:v>
                </c:pt>
                <c:pt idx="1">
                  <c:v>0.28387096774193499</c:v>
                </c:pt>
                <c:pt idx="2">
                  <c:v>0.43225806451612903</c:v>
                </c:pt>
                <c:pt idx="3">
                  <c:v>0.483870967741936</c:v>
                </c:pt>
                <c:pt idx="4">
                  <c:v>0.54838709677419395</c:v>
                </c:pt>
                <c:pt idx="5">
                  <c:v>0.59354838709677504</c:v>
                </c:pt>
                <c:pt idx="6">
                  <c:v>0.69677419354838799</c:v>
                </c:pt>
                <c:pt idx="7">
                  <c:v>0.72903225806451699</c:v>
                </c:pt>
                <c:pt idx="8">
                  <c:v>0.76774193548387204</c:v>
                </c:pt>
                <c:pt idx="9">
                  <c:v>0.81290322580645202</c:v>
                </c:pt>
                <c:pt idx="10">
                  <c:v>0.87096774193548498</c:v>
                </c:pt>
                <c:pt idx="11">
                  <c:v>0.94838709677419397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16-4624-BA89-C8BDE3DF6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05707"/>
        <c:axId val="956452123"/>
      </c:scatterChart>
      <c:valAx>
        <c:axId val="228705707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>
                    <a:latin typeface="宋体" panose="02010600030101010101" pitchFamily="7" charset="-122"/>
                    <a:ea typeface="宋体" panose="02010600030101010101" pitchFamily="7" charset="-122"/>
                  </a:rPr>
                  <a:t>尝试次数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6452123"/>
        <c:crosses val="autoZero"/>
        <c:crossBetween val="midCat"/>
      </c:valAx>
      <c:valAx>
        <c:axId val="95645212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eaVert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解密解密概率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eaVert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7057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85132032147002"/>
          <c:y val="0.52500598229241402"/>
          <c:w val="0.13131458094144699"/>
          <c:h val="0.3286671452500600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342132893355303E-2"/>
          <c:y val="5.4761904761904803E-2"/>
          <c:w val="0.911159442027899"/>
          <c:h val="0.812547619047618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Sheet1!$M$43</c:f>
              <c:strCache>
                <c:ptCount val="1"/>
                <c:pt idx="0">
                  <c:v>θ=12.5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Sheet1!$L$44:$L$55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Sheet1!$M$44:$M$55</c:f>
              <c:numCache>
                <c:formatCode>General</c:formatCode>
                <c:ptCount val="12"/>
                <c:pt idx="0">
                  <c:v>0</c:v>
                </c:pt>
                <c:pt idx="1">
                  <c:v>0.29032258064516098</c:v>
                </c:pt>
                <c:pt idx="2">
                  <c:v>0.45161290322580599</c:v>
                </c:pt>
                <c:pt idx="3">
                  <c:v>0.50322580645161297</c:v>
                </c:pt>
                <c:pt idx="4">
                  <c:v>0.54838709677419395</c:v>
                </c:pt>
                <c:pt idx="5">
                  <c:v>0.6</c:v>
                </c:pt>
                <c:pt idx="6">
                  <c:v>0.68387096774193501</c:v>
                </c:pt>
                <c:pt idx="7">
                  <c:v>0.74838709677419402</c:v>
                </c:pt>
                <c:pt idx="8">
                  <c:v>0.85806451612903301</c:v>
                </c:pt>
                <c:pt idx="9">
                  <c:v>0.90967741935483903</c:v>
                </c:pt>
                <c:pt idx="10">
                  <c:v>0.94193548387096804</c:v>
                </c:pt>
                <c:pt idx="11">
                  <c:v>0.99354838709677495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EA-4283-ACE9-935E93C52A05}"/>
            </c:ext>
          </c:extLst>
        </c:ser>
        <c:ser>
          <c:idx val="1"/>
          <c:order val="1"/>
          <c:tx>
            <c:strRef>
              <c:f>Sheet1!$N$43</c:f>
              <c:strCache>
                <c:ptCount val="1"/>
                <c:pt idx="0">
                  <c:v>θ=13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Sheet1!$L$44:$L$55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Sheet1!$N$44:$N$55</c:f>
              <c:numCache>
                <c:formatCode>General</c:formatCode>
                <c:ptCount val="12"/>
                <c:pt idx="0">
                  <c:v>0</c:v>
                </c:pt>
                <c:pt idx="1">
                  <c:v>0.28387096774193499</c:v>
                </c:pt>
                <c:pt idx="2">
                  <c:v>0.445161290322581</c:v>
                </c:pt>
                <c:pt idx="3">
                  <c:v>0.49032258064516099</c:v>
                </c:pt>
                <c:pt idx="4">
                  <c:v>0.56129032258064504</c:v>
                </c:pt>
                <c:pt idx="5">
                  <c:v>0.56774193548387097</c:v>
                </c:pt>
                <c:pt idx="6">
                  <c:v>0.63870967741935503</c:v>
                </c:pt>
                <c:pt idx="7">
                  <c:v>0.75483870967741995</c:v>
                </c:pt>
                <c:pt idx="8">
                  <c:v>0.85161290322580696</c:v>
                </c:pt>
                <c:pt idx="9">
                  <c:v>0.90322580645161299</c:v>
                </c:pt>
                <c:pt idx="10">
                  <c:v>0.94838709677419397</c:v>
                </c:pt>
                <c:pt idx="11">
                  <c:v>0.967741935483872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EA-4283-ACE9-935E93C52A05}"/>
            </c:ext>
          </c:extLst>
        </c:ser>
        <c:ser>
          <c:idx val="2"/>
          <c:order val="2"/>
          <c:tx>
            <c:strRef>
              <c:f>Sheet1!$O$43</c:f>
              <c:strCache>
                <c:ptCount val="1"/>
                <c:pt idx="0">
                  <c:v>θ=13.5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Sheet1!$L$44:$L$55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Sheet1!$O$44:$O$55</c:f>
              <c:numCache>
                <c:formatCode>General</c:formatCode>
                <c:ptCount val="12"/>
                <c:pt idx="0">
                  <c:v>0</c:v>
                </c:pt>
                <c:pt idx="1">
                  <c:v>0.30322580645161301</c:v>
                </c:pt>
                <c:pt idx="2">
                  <c:v>0.43870967741935502</c:v>
                </c:pt>
                <c:pt idx="3">
                  <c:v>0.483870967741935</c:v>
                </c:pt>
                <c:pt idx="4">
                  <c:v>0.54193548387096802</c:v>
                </c:pt>
                <c:pt idx="5">
                  <c:v>0.554838709677419</c:v>
                </c:pt>
                <c:pt idx="6">
                  <c:v>0.63225806451612898</c:v>
                </c:pt>
                <c:pt idx="7">
                  <c:v>0.75483870967741895</c:v>
                </c:pt>
                <c:pt idx="8">
                  <c:v>0.83225806451612805</c:v>
                </c:pt>
                <c:pt idx="9">
                  <c:v>0.90322580645161199</c:v>
                </c:pt>
                <c:pt idx="10">
                  <c:v>0.93548387096774099</c:v>
                </c:pt>
                <c:pt idx="11">
                  <c:v>0.97419354838709604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EA-4283-ACE9-935E93C52A05}"/>
            </c:ext>
          </c:extLst>
        </c:ser>
        <c:ser>
          <c:idx val="3"/>
          <c:order val="3"/>
          <c:tx>
            <c:strRef>
              <c:f>Sheet1!$P$43</c:f>
              <c:strCache>
                <c:ptCount val="1"/>
                <c:pt idx="0">
                  <c:v>θ=14</c:v>
                </c:pt>
              </c:strCache>
            </c:strRef>
          </c:tx>
          <c:spPr>
            <a:ln w="22225" cap="rnd" cmpd="sng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Sheet1!$L$44:$L$55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Sheet1!$P$44:$P$55</c:f>
              <c:numCache>
                <c:formatCode>General</c:formatCode>
                <c:ptCount val="12"/>
                <c:pt idx="0">
                  <c:v>0</c:v>
                </c:pt>
                <c:pt idx="1">
                  <c:v>0.32903225806451603</c:v>
                </c:pt>
                <c:pt idx="2">
                  <c:v>0.49032258064516099</c:v>
                </c:pt>
                <c:pt idx="3">
                  <c:v>0.56774193548387097</c:v>
                </c:pt>
                <c:pt idx="4">
                  <c:v>0.63870967741935503</c:v>
                </c:pt>
                <c:pt idx="5">
                  <c:v>0.66451612903225799</c:v>
                </c:pt>
                <c:pt idx="6">
                  <c:v>0.72903225806451599</c:v>
                </c:pt>
                <c:pt idx="7">
                  <c:v>0.78064516129032302</c:v>
                </c:pt>
                <c:pt idx="8">
                  <c:v>0.83225806451612905</c:v>
                </c:pt>
                <c:pt idx="9">
                  <c:v>0.90967741935483903</c:v>
                </c:pt>
                <c:pt idx="10">
                  <c:v>0.95483870967741902</c:v>
                </c:pt>
                <c:pt idx="11">
                  <c:v>0.98709677419354802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EA-4283-ACE9-935E93C52A05}"/>
            </c:ext>
          </c:extLst>
        </c:ser>
        <c:ser>
          <c:idx val="4"/>
          <c:order val="4"/>
          <c:tx>
            <c:strRef>
              <c:f>Sheet1!$Q$43</c:f>
              <c:strCache>
                <c:ptCount val="1"/>
                <c:pt idx="0">
                  <c:v>θ=14.5</c:v>
                </c:pt>
              </c:strCache>
            </c:strRef>
          </c:tx>
          <c:spPr>
            <a:ln w="28575" cap="rnd" cmpd="dbl">
              <a:solidFill>
                <a:schemeClr val="tx1">
                  <a:lumMod val="85000"/>
                  <a:lumOff val="15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Sheet1!$L$44:$L$55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Sheet1!$Q$44:$Q$55</c:f>
              <c:numCache>
                <c:formatCode>General</c:formatCode>
                <c:ptCount val="12"/>
                <c:pt idx="0">
                  <c:v>0</c:v>
                </c:pt>
                <c:pt idx="1">
                  <c:v>0.309677419354839</c:v>
                </c:pt>
                <c:pt idx="2">
                  <c:v>0.46451612903225797</c:v>
                </c:pt>
                <c:pt idx="3">
                  <c:v>0.52258064516128999</c:v>
                </c:pt>
                <c:pt idx="4">
                  <c:v>0.59354838709677404</c:v>
                </c:pt>
                <c:pt idx="5">
                  <c:v>0.64516129032258096</c:v>
                </c:pt>
                <c:pt idx="6">
                  <c:v>0.72903225806451599</c:v>
                </c:pt>
                <c:pt idx="7">
                  <c:v>0.761290322580645</c:v>
                </c:pt>
                <c:pt idx="8">
                  <c:v>0.83870967741935498</c:v>
                </c:pt>
                <c:pt idx="9">
                  <c:v>0.85161290322580696</c:v>
                </c:pt>
                <c:pt idx="10">
                  <c:v>0.88387096774193596</c:v>
                </c:pt>
                <c:pt idx="11">
                  <c:v>0.97419354838709704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EA-4283-ACE9-935E93C52A05}"/>
            </c:ext>
          </c:extLst>
        </c:ser>
        <c:ser>
          <c:idx val="5"/>
          <c:order val="5"/>
          <c:tx>
            <c:strRef>
              <c:f>Sheet1!$R$43</c:f>
              <c:strCache>
                <c:ptCount val="1"/>
                <c:pt idx="0">
                  <c:v>θ=15</c:v>
                </c:pt>
              </c:strCache>
            </c:strRef>
          </c:tx>
          <c:spPr>
            <a:ln w="28575" cap="rnd" cmpd="sng">
              <a:solidFill>
                <a:schemeClr val="accent6"/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Sheet1!$L$44:$L$55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Sheet1!$R$44:$R$55</c:f>
              <c:numCache>
                <c:formatCode>General</c:formatCode>
                <c:ptCount val="12"/>
                <c:pt idx="0">
                  <c:v>0</c:v>
                </c:pt>
                <c:pt idx="1">
                  <c:v>0.30322580645161301</c:v>
                </c:pt>
                <c:pt idx="2">
                  <c:v>0.45161290322580599</c:v>
                </c:pt>
                <c:pt idx="3">
                  <c:v>0.50322580645161297</c:v>
                </c:pt>
                <c:pt idx="4">
                  <c:v>0.6</c:v>
                </c:pt>
                <c:pt idx="5">
                  <c:v>0.64516129032258096</c:v>
                </c:pt>
                <c:pt idx="6">
                  <c:v>0.68387096774193601</c:v>
                </c:pt>
                <c:pt idx="7">
                  <c:v>0.71612903225806501</c:v>
                </c:pt>
                <c:pt idx="8">
                  <c:v>0.76774193548387104</c:v>
                </c:pt>
                <c:pt idx="9">
                  <c:v>0.81935483870967796</c:v>
                </c:pt>
                <c:pt idx="10">
                  <c:v>0.87741935483871003</c:v>
                </c:pt>
                <c:pt idx="11">
                  <c:v>0.94838709677419397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BEA-4283-ACE9-935E93C52A05}"/>
            </c:ext>
          </c:extLst>
        </c:ser>
        <c:ser>
          <c:idx val="6"/>
          <c:order val="6"/>
          <c:tx>
            <c:strRef>
              <c:f>Sheet1!$S$43</c:f>
              <c:strCache>
                <c:ptCount val="1"/>
                <c:pt idx="0">
                  <c:v>θ=15.5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Sheet1!$L$44:$L$55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Sheet1!$S$44:$S$55</c:f>
              <c:numCache>
                <c:formatCode>General</c:formatCode>
                <c:ptCount val="12"/>
                <c:pt idx="0">
                  <c:v>0</c:v>
                </c:pt>
                <c:pt idx="1">
                  <c:v>0.29032258064516098</c:v>
                </c:pt>
                <c:pt idx="2">
                  <c:v>0.445161290322581</c:v>
                </c:pt>
                <c:pt idx="3">
                  <c:v>0.50322580645161297</c:v>
                </c:pt>
                <c:pt idx="4">
                  <c:v>0.56129032258064504</c:v>
                </c:pt>
                <c:pt idx="5">
                  <c:v>0.63225806451612898</c:v>
                </c:pt>
                <c:pt idx="6">
                  <c:v>0.72258064516128995</c:v>
                </c:pt>
                <c:pt idx="7">
                  <c:v>0.75483870967741895</c:v>
                </c:pt>
                <c:pt idx="8">
                  <c:v>0.793548387096774</c:v>
                </c:pt>
                <c:pt idx="9">
                  <c:v>0.85806451612903201</c:v>
                </c:pt>
                <c:pt idx="10">
                  <c:v>0.89677419354838706</c:v>
                </c:pt>
                <c:pt idx="11">
                  <c:v>0.97419354838709704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EA-4283-ACE9-935E93C52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894286"/>
        <c:axId val="551349066"/>
      </c:scatterChart>
      <c:valAx>
        <c:axId val="76689428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>
                    <a:latin typeface="宋体" panose="02010600030101010101" pitchFamily="7" charset="-122"/>
                    <a:ea typeface="宋体" panose="02010600030101010101" pitchFamily="7" charset="-122"/>
                  </a:rPr>
                  <a:t>尝试次数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1349066"/>
        <c:crosses val="autoZero"/>
        <c:crossBetween val="midCat"/>
      </c:valAx>
      <c:valAx>
        <c:axId val="55134906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eaVert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解密成</a:t>
                </a:r>
                <a:r>
                  <a:rPr lang="zh-CN" altLang="en-US">
                    <a:latin typeface="宋体" panose="02010600030101010101" pitchFamily="7" charset="-122"/>
                    <a:ea typeface="宋体" panose="02010600030101010101" pitchFamily="7" charset="-122"/>
                  </a:rPr>
                  <a:t>功概</a:t>
                </a:r>
                <a:r>
                  <a:rPr lang="zh-CN" altLang="en-US"/>
                  <a:t>率</a:t>
                </a:r>
              </a:p>
            </c:rich>
          </c:tx>
          <c:layout>
            <c:manualLayout>
              <c:xMode val="edge"/>
              <c:yMode val="edge"/>
              <c:x val="4.5109205922275403E-3"/>
              <c:y val="0.356358002621857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eaVert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689428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2262825017595"/>
          <c:y val="0.50023957834211796"/>
          <c:w val="0.130147575544624"/>
          <c:h val="0.36284139913751801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Sheet1!$V$43</c:f>
              <c:strCache>
                <c:ptCount val="1"/>
                <c:pt idx="0">
                  <c:v>m=2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Sheet1!$U$44:$U$55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Sheet1!$V$44:$V$55</c:f>
              <c:numCache>
                <c:formatCode>General</c:formatCode>
                <c:ptCount val="12"/>
                <c:pt idx="0">
                  <c:v>0</c:v>
                </c:pt>
                <c:pt idx="1">
                  <c:v>0.31105990783410198</c:v>
                </c:pt>
                <c:pt idx="2">
                  <c:v>0.36774193548387102</c:v>
                </c:pt>
                <c:pt idx="3">
                  <c:v>0.412903225806452</c:v>
                </c:pt>
                <c:pt idx="4">
                  <c:v>0.483870967741936</c:v>
                </c:pt>
                <c:pt idx="5">
                  <c:v>0.49032258064516099</c:v>
                </c:pt>
                <c:pt idx="6">
                  <c:v>0.56129032258064504</c:v>
                </c:pt>
                <c:pt idx="7">
                  <c:v>0.67741935483870996</c:v>
                </c:pt>
                <c:pt idx="8">
                  <c:v>0.77419354838709697</c:v>
                </c:pt>
                <c:pt idx="9">
                  <c:v>0.825806451612903</c:v>
                </c:pt>
                <c:pt idx="10">
                  <c:v>0.87096774193548399</c:v>
                </c:pt>
                <c:pt idx="11">
                  <c:v>0.94193548387096804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8A-484C-B843-50371BF0C795}"/>
            </c:ext>
          </c:extLst>
        </c:ser>
        <c:ser>
          <c:idx val="1"/>
          <c:order val="1"/>
          <c:tx>
            <c:strRef>
              <c:f>Sheet1!$W$43</c:f>
              <c:strCache>
                <c:ptCount val="1"/>
                <c:pt idx="0">
                  <c:v>m=3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Sheet1!$U$44:$U$55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Sheet1!$W$44:$W$55</c:f>
              <c:numCache>
                <c:formatCode>General</c:formatCode>
                <c:ptCount val="12"/>
                <c:pt idx="0">
                  <c:v>0</c:v>
                </c:pt>
                <c:pt idx="1">
                  <c:v>0.31267281105990802</c:v>
                </c:pt>
                <c:pt idx="2">
                  <c:v>0.43870967741935502</c:v>
                </c:pt>
                <c:pt idx="3">
                  <c:v>0.483870967741936</c:v>
                </c:pt>
                <c:pt idx="4">
                  <c:v>0.54193548387096802</c:v>
                </c:pt>
                <c:pt idx="5">
                  <c:v>0.55483870967741999</c:v>
                </c:pt>
                <c:pt idx="6">
                  <c:v>0.63225806451612898</c:v>
                </c:pt>
                <c:pt idx="7">
                  <c:v>0.75483870967741895</c:v>
                </c:pt>
                <c:pt idx="8">
                  <c:v>0.793548387096774</c:v>
                </c:pt>
                <c:pt idx="9">
                  <c:v>0.86451612903225805</c:v>
                </c:pt>
                <c:pt idx="10">
                  <c:v>0.89677419354838706</c:v>
                </c:pt>
                <c:pt idx="11">
                  <c:v>0.97419354838709604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8A-484C-B843-50371BF0C795}"/>
            </c:ext>
          </c:extLst>
        </c:ser>
        <c:ser>
          <c:idx val="2"/>
          <c:order val="2"/>
          <c:tx>
            <c:strRef>
              <c:f>Sheet1!$X$43</c:f>
              <c:strCache>
                <c:ptCount val="1"/>
                <c:pt idx="0">
                  <c:v>m=4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Sheet1!$U$44:$U$55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Sheet1!$X$44:$X$55</c:f>
              <c:numCache>
                <c:formatCode>General</c:formatCode>
                <c:ptCount val="12"/>
                <c:pt idx="0">
                  <c:v>0</c:v>
                </c:pt>
                <c:pt idx="1">
                  <c:v>0.314285714285715</c:v>
                </c:pt>
                <c:pt idx="2">
                  <c:v>0.49032258064516099</c:v>
                </c:pt>
                <c:pt idx="3">
                  <c:v>0.57419354838709602</c:v>
                </c:pt>
                <c:pt idx="4">
                  <c:v>0.64516129032257996</c:v>
                </c:pt>
                <c:pt idx="5">
                  <c:v>0.67096774193548403</c:v>
                </c:pt>
                <c:pt idx="6">
                  <c:v>0.73548387096774204</c:v>
                </c:pt>
                <c:pt idx="7">
                  <c:v>0.78709677419354795</c:v>
                </c:pt>
                <c:pt idx="8">
                  <c:v>0.83870967741935498</c:v>
                </c:pt>
                <c:pt idx="9">
                  <c:v>0.88387096774193497</c:v>
                </c:pt>
                <c:pt idx="10">
                  <c:v>0.92258064516129001</c:v>
                </c:pt>
                <c:pt idx="11">
                  <c:v>0.98064516129032198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8A-484C-B843-50371BF0C795}"/>
            </c:ext>
          </c:extLst>
        </c:ser>
        <c:ser>
          <c:idx val="3"/>
          <c:order val="3"/>
          <c:tx>
            <c:strRef>
              <c:f>Sheet1!$Y$43</c:f>
              <c:strCache>
                <c:ptCount val="1"/>
                <c:pt idx="0">
                  <c:v>m=5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Sheet1!$U$44:$U$55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Sheet1!$Y$44:$Y$55</c:f>
              <c:numCache>
                <c:formatCode>General</c:formatCode>
                <c:ptCount val="12"/>
                <c:pt idx="0">
                  <c:v>0</c:v>
                </c:pt>
                <c:pt idx="1">
                  <c:v>0.31589861751152098</c:v>
                </c:pt>
                <c:pt idx="2">
                  <c:v>0.50322580645161297</c:v>
                </c:pt>
                <c:pt idx="3">
                  <c:v>0.57419354838709702</c:v>
                </c:pt>
                <c:pt idx="4">
                  <c:v>0.64516129032258096</c:v>
                </c:pt>
                <c:pt idx="5">
                  <c:v>0.69677419354838699</c:v>
                </c:pt>
                <c:pt idx="6">
                  <c:v>0.75483870967741895</c:v>
                </c:pt>
                <c:pt idx="7">
                  <c:v>0.78709677419354795</c:v>
                </c:pt>
                <c:pt idx="8">
                  <c:v>0.86451612903225805</c:v>
                </c:pt>
                <c:pt idx="9">
                  <c:v>0.87741935483871003</c:v>
                </c:pt>
                <c:pt idx="10">
                  <c:v>0.90967741935483903</c:v>
                </c:pt>
                <c:pt idx="11">
                  <c:v>0.97419354838709704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8A-484C-B843-50371BF0C795}"/>
            </c:ext>
          </c:extLst>
        </c:ser>
        <c:ser>
          <c:idx val="4"/>
          <c:order val="4"/>
          <c:tx>
            <c:strRef>
              <c:f>Sheet1!$Z$43</c:f>
              <c:strCache>
                <c:ptCount val="1"/>
                <c:pt idx="0">
                  <c:v>m=6</c:v>
                </c:pt>
              </c:strCache>
            </c:strRef>
          </c:tx>
          <c:spPr>
            <a:ln w="2540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Sheet1!$U$44:$U$55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Sheet1!$Z$44:$Z$55</c:f>
              <c:numCache>
                <c:formatCode>General</c:formatCode>
                <c:ptCount val="12"/>
                <c:pt idx="0">
                  <c:v>0</c:v>
                </c:pt>
                <c:pt idx="1">
                  <c:v>0.32258064516128998</c:v>
                </c:pt>
                <c:pt idx="2">
                  <c:v>0.50322580645161297</c:v>
                </c:pt>
                <c:pt idx="3">
                  <c:v>0.58064516129032195</c:v>
                </c:pt>
                <c:pt idx="4">
                  <c:v>0.67741935483870896</c:v>
                </c:pt>
                <c:pt idx="5">
                  <c:v>0.72258064516128995</c:v>
                </c:pt>
                <c:pt idx="6">
                  <c:v>0.761290322580645</c:v>
                </c:pt>
                <c:pt idx="7">
                  <c:v>0.793548387096774</c:v>
                </c:pt>
                <c:pt idx="8">
                  <c:v>0.84516129032258003</c:v>
                </c:pt>
                <c:pt idx="9">
                  <c:v>0.89677419354838706</c:v>
                </c:pt>
                <c:pt idx="10">
                  <c:v>0.95483870967741902</c:v>
                </c:pt>
                <c:pt idx="11">
                  <c:v>0.99354838709677396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8A-484C-B843-50371BF0C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076345"/>
        <c:axId val="968874585"/>
      </c:scatterChart>
      <c:valAx>
        <c:axId val="696076345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尝试次数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874585"/>
        <c:crosses val="autoZero"/>
        <c:crossBetween val="midCat"/>
      </c:valAx>
      <c:valAx>
        <c:axId val="96887458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eaVert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解密成功概率</a:t>
                </a:r>
              </a:p>
            </c:rich>
          </c:tx>
          <c:layout>
            <c:manualLayout>
              <c:xMode val="edge"/>
              <c:yMode val="edge"/>
              <c:x val="1.1944577161968501E-2"/>
              <c:y val="0.383647226912586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eaVert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607634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237526352775804"/>
          <c:y val="0.54019678425725903"/>
          <c:w val="9.7891777933942395E-2"/>
          <c:h val="0.3200143988480920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Sheet1!$AF$43</c:f>
              <c:strCache>
                <c:ptCount val="1"/>
                <c:pt idx="0">
                  <c:v>m=4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9A-4DCE-B7B1-D697923D4B4F}"/>
                </c:ext>
              </c:extLst>
            </c:dLbl>
            <c:dLbl>
              <c:idx val="1"/>
              <c:layout>
                <c:manualLayout>
                  <c:x val="2.9947916666666699E-2"/>
                  <c:y val="6.792891546254779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9A-4DCE-B7B1-D697923D4B4F}"/>
                </c:ext>
              </c:extLst>
            </c:dLbl>
            <c:dLbl>
              <c:idx val="2"/>
              <c:layout>
                <c:manualLayout>
                  <c:x val="2.34375E-2"/>
                  <c:y val="6.510546420860320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9A-4DCE-B7B1-D697923D4B4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9A-4DCE-B7B1-D697923D4B4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A-4DCE-B7B1-D697923D4B4F}"/>
                </c:ext>
              </c:extLst>
            </c:dLbl>
            <c:dLbl>
              <c:idx val="5"/>
              <c:layout>
                <c:manualLayout>
                  <c:x val="2.0182291666666699E-2"/>
                  <c:y val="6.361069589769140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89A-4DCE-B7B1-D697923D4B4F}"/>
                </c:ext>
              </c:extLst>
            </c:dLbl>
            <c:dLbl>
              <c:idx val="6"/>
              <c:layout>
                <c:manualLayout>
                  <c:x val="4.0922619047618998E-3"/>
                  <c:y val="7.8060122903172199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9A-4DCE-B7B1-D697923D4B4F}"/>
                </c:ext>
              </c:extLst>
            </c:dLbl>
            <c:dLbl>
              <c:idx val="7"/>
              <c:layout>
                <c:manualLayout>
                  <c:x val="1.6741071428571399E-3"/>
                  <c:y val="7.8060122903172199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9A-4DCE-B7B1-D697923D4B4F}"/>
                </c:ext>
              </c:extLst>
            </c:dLbl>
            <c:dLbl>
              <c:idx val="8"/>
              <c:layout>
                <c:manualLayout>
                  <c:x val="3.25520833333333E-3"/>
                  <c:y val="7.656535459226039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9A-4DCE-B7B1-D697923D4B4F}"/>
                </c:ext>
              </c:extLst>
            </c:dLbl>
            <c:dLbl>
              <c:idx val="9"/>
              <c:layout>
                <c:manualLayout>
                  <c:x val="1.5811011904761901E-3"/>
                  <c:y val="7.656535459226039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89A-4DCE-B7B1-D697923D4B4F}"/>
                </c:ext>
              </c:extLst>
            </c:dLbl>
            <c:dLbl>
              <c:idx val="10"/>
              <c:layout>
                <c:manualLayout>
                  <c:x val="8.3705357142857095E-4"/>
                  <c:y val="8.088357415711680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9A-4DCE-B7B1-D697923D4B4F}"/>
                </c:ext>
              </c:extLst>
            </c:dLbl>
            <c:dLbl>
              <c:idx val="11"/>
              <c:layout>
                <c:manualLayout>
                  <c:x val="-7.3474702380952397E-3"/>
                  <c:y val="6.07872446437469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9A-4DCE-B7B1-D697923D4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Sheet1!$AE$44:$AE$55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Sheet1!$AF$44:$AF$55</c:f>
              <c:numCache>
                <c:formatCode>General</c:formatCode>
                <c:ptCount val="12"/>
                <c:pt idx="0">
                  <c:v>0</c:v>
                </c:pt>
                <c:pt idx="1">
                  <c:v>0.31419999999999998</c:v>
                </c:pt>
                <c:pt idx="2">
                  <c:v>0.49</c:v>
                </c:pt>
                <c:pt idx="3">
                  <c:v>0.57410000000000005</c:v>
                </c:pt>
                <c:pt idx="4">
                  <c:v>0.64510000000000001</c:v>
                </c:pt>
                <c:pt idx="5">
                  <c:v>0.67090000000000005</c:v>
                </c:pt>
                <c:pt idx="6">
                  <c:v>0.73540000000000005</c:v>
                </c:pt>
                <c:pt idx="7">
                  <c:v>0.78700000000000003</c:v>
                </c:pt>
                <c:pt idx="8">
                  <c:v>0.8387</c:v>
                </c:pt>
                <c:pt idx="9">
                  <c:v>0.88380000000000003</c:v>
                </c:pt>
                <c:pt idx="10">
                  <c:v>0.92249999999999999</c:v>
                </c:pt>
                <c:pt idx="11">
                  <c:v>0.98060000000000003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9A-4DCE-B7B1-D697923D4B4F}"/>
            </c:ext>
          </c:extLst>
        </c:ser>
        <c:ser>
          <c:idx val="1"/>
          <c:order val="1"/>
          <c:tx>
            <c:strRef>
              <c:f>Sheet1!$AG$43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89A-4DCE-B7B1-D697923D4B4F}"/>
                </c:ext>
              </c:extLst>
            </c:dLbl>
            <c:dLbl>
              <c:idx val="1"/>
              <c:layout>
                <c:manualLayout>
                  <c:x val="3.1622023809523801E-2"/>
                  <c:y val="4.185351270553060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89A-4DCE-B7B1-D697923D4B4F}"/>
                </c:ext>
              </c:extLst>
            </c:dLbl>
            <c:dLbl>
              <c:idx val="2"/>
              <c:layout>
                <c:manualLayout>
                  <c:x val="3.3947172619047603E-2"/>
                  <c:y val="3.9030061451586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89A-4DCE-B7B1-D697923D4B4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89A-4DCE-B7B1-D697923D4B4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89A-4DCE-B7B1-D697923D4B4F}"/>
                </c:ext>
              </c:extLst>
            </c:dLbl>
            <c:dLbl>
              <c:idx val="6"/>
              <c:layout>
                <c:manualLayout>
                  <c:x val="-8.3705357142857095E-4"/>
                  <c:y val="1.1459890383657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76636904761905E-2"/>
                      <c:h val="5.646902507889060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389A-4DCE-B7B1-D697923D4B4F}"/>
                </c:ext>
              </c:extLst>
            </c:dLbl>
            <c:dLbl>
              <c:idx val="7"/>
              <c:layout>
                <c:manualLayout>
                  <c:x val="-7.4404761904761901E-4"/>
                  <c:y val="1.16259757515363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89A-4DCE-B7B1-D697923D4B4F}"/>
                </c:ext>
              </c:extLst>
            </c:dLbl>
            <c:dLbl>
              <c:idx val="8"/>
              <c:layout>
                <c:manualLayout>
                  <c:x val="-1.6741071428571399E-3"/>
                  <c:y val="1.16259757515363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89A-4DCE-B7B1-D697923D4B4F}"/>
                </c:ext>
              </c:extLst>
            </c:dLbl>
            <c:dLbl>
              <c:idx val="9"/>
              <c:layout>
                <c:manualLayout>
                  <c:x val="-3.3482142857142899E-3"/>
                  <c:y val="8.6364391297126704E-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89A-4DCE-B7B1-D697923D4B4F}"/>
                </c:ext>
              </c:extLst>
            </c:dLbl>
            <c:dLbl>
              <c:idx val="10"/>
              <c:layout>
                <c:manualLayout>
                  <c:x val="-7.9985119047619006E-3"/>
                  <c:y val="1.0131207440624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89A-4DCE-B7B1-D697923D4B4F}"/>
                </c:ext>
              </c:extLst>
            </c:dLbl>
            <c:dLbl>
              <c:idx val="11"/>
              <c:layout>
                <c:manualLayout>
                  <c:x val="-3.4040178571428603E-2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89A-4DCE-B7B1-D697923D4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Sheet1!$AE$44:$AE$55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60</c:v>
                </c:pt>
              </c:numCache>
            </c:numRef>
          </c:xVal>
          <c:yVal>
            <c:numRef>
              <c:f>Sheet1!$AG$44:$AG$55</c:f>
              <c:numCache>
                <c:formatCode>General</c:formatCode>
                <c:ptCount val="12"/>
                <c:pt idx="0">
                  <c:v>0</c:v>
                </c:pt>
                <c:pt idx="1">
                  <c:v>0.32250000000000001</c:v>
                </c:pt>
                <c:pt idx="2">
                  <c:v>0.50319999999999998</c:v>
                </c:pt>
                <c:pt idx="3">
                  <c:v>0.57999999999999996</c:v>
                </c:pt>
                <c:pt idx="4">
                  <c:v>0.67741935483870896</c:v>
                </c:pt>
                <c:pt idx="5">
                  <c:v>0.72250000000000003</c:v>
                </c:pt>
                <c:pt idx="6">
                  <c:v>0.76119999999999999</c:v>
                </c:pt>
                <c:pt idx="7">
                  <c:v>0.79349999999999998</c:v>
                </c:pt>
                <c:pt idx="8">
                  <c:v>0.84509999999999996</c:v>
                </c:pt>
                <c:pt idx="9">
                  <c:v>0.89670000000000005</c:v>
                </c:pt>
                <c:pt idx="10">
                  <c:v>0.95479999999999998</c:v>
                </c:pt>
                <c:pt idx="11">
                  <c:v>0.99350000000000005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89A-4DCE-B7B1-D697923D4B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56554456"/>
        <c:axId val="807081090"/>
      </c:scatterChart>
      <c:valAx>
        <c:axId val="65655445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尝试次数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7081090"/>
        <c:crosses val="autoZero"/>
        <c:crossBetween val="midCat"/>
      </c:valAx>
      <c:valAx>
        <c:axId val="80708109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0" vertOverflow="ellipsis" vert="eaVert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解密成功概率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eaVert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554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340773809523803"/>
          <c:y val="0.68319216077063605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12" Type="http://schemas.openxmlformats.org/officeDocument/2006/relationships/image" Target="../media/image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image" Target="../media/image4.png"/><Relationship Id="rId5" Type="http://schemas.openxmlformats.org/officeDocument/2006/relationships/image" Target="../media/image1.png"/><Relationship Id="rId10" Type="http://schemas.openxmlformats.org/officeDocument/2006/relationships/chart" Target="../charts/chart7.xml"/><Relationship Id="rId4" Type="http://schemas.openxmlformats.org/officeDocument/2006/relationships/chart" Target="../charts/chart4.xml"/><Relationship Id="rId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546100</xdr:colOff>
      <xdr:row>87</xdr:row>
      <xdr:rowOff>107950</xdr:rowOff>
    </xdr:from>
    <xdr:to>
      <xdr:col>13</xdr:col>
      <xdr:colOff>317500</xdr:colOff>
      <xdr:row>103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08AF7F0-1677-4456-ACFF-C5A8911591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82550</xdr:colOff>
      <xdr:row>95</xdr:row>
      <xdr:rowOff>76200</xdr:rowOff>
    </xdr:from>
    <xdr:to>
      <xdr:col>14</xdr:col>
      <xdr:colOff>539750</xdr:colOff>
      <xdr:row>110</xdr:row>
      <xdr:rowOff>152400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79D3F98-3C82-4881-8E3E-EF5463BF61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571500</xdr:colOff>
      <xdr:row>91</xdr:row>
      <xdr:rowOff>0</xdr:rowOff>
    </xdr:from>
    <xdr:to>
      <xdr:col>19</xdr:col>
      <xdr:colOff>63500</xdr:colOff>
      <xdr:row>106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1CB36123-AFEA-446F-9128-C899D7512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629285</xdr:colOff>
      <xdr:row>55</xdr:row>
      <xdr:rowOff>69850</xdr:rowOff>
    </xdr:from>
    <xdr:to>
      <xdr:col>11</xdr:col>
      <xdr:colOff>660400</xdr:colOff>
      <xdr:row>85</xdr:row>
      <xdr:rowOff>76200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5388471-EDD3-437F-A0B2-55CDFBB9D8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377190</xdr:colOff>
      <xdr:row>71</xdr:row>
      <xdr:rowOff>93980</xdr:rowOff>
    </xdr:from>
    <xdr:to>
      <xdr:col>11</xdr:col>
      <xdr:colOff>450850</xdr:colOff>
      <xdr:row>80</xdr:row>
      <xdr:rowOff>125095</xdr:rowOff>
    </xdr:to>
    <xdr:pic>
      <xdr:nvPicPr>
        <xdr:cNvPr id="6" name="图片 1" descr="文本&#10;&#10;中度可信度描述已自动生成">
          <a:extLst>
            <a:ext uri="{FF2B5EF4-FFF2-40B4-BE49-F238E27FC236}">
              <a16:creationId xmlns:a16="http://schemas.microsoft.com/office/drawing/2014/main" id="{F7411CCE-F0E0-4CB7-BB66-950ACEB7F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1070" y="12537440"/>
          <a:ext cx="690880" cy="1608455"/>
        </a:xfrm>
        <a:prstGeom prst="rect">
          <a:avLst/>
        </a:prstGeom>
      </xdr:spPr>
    </xdr:pic>
    <xdr:clientData/>
  </xdr:twoCellAnchor>
  <xdr:twoCellAnchor>
    <xdr:from>
      <xdr:col>12</xdr:col>
      <xdr:colOff>113665</xdr:colOff>
      <xdr:row>55</xdr:row>
      <xdr:rowOff>121285</xdr:rowOff>
    </xdr:from>
    <xdr:to>
      <xdr:col>21</xdr:col>
      <xdr:colOff>452755</xdr:colOff>
      <xdr:row>85</xdr:row>
      <xdr:rowOff>121285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4A47C918-50C5-45B6-8C1C-2DA27DAE5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356235</xdr:colOff>
      <xdr:row>71</xdr:row>
      <xdr:rowOff>38100</xdr:rowOff>
    </xdr:from>
    <xdr:to>
      <xdr:col>21</xdr:col>
      <xdr:colOff>172085</xdr:colOff>
      <xdr:row>81</xdr:row>
      <xdr:rowOff>4445</xdr:rowOff>
    </xdr:to>
    <xdr:pic>
      <xdr:nvPicPr>
        <xdr:cNvPr id="8" name="图片 7" descr="文本&#10;&#10;描述已自动生成">
          <a:extLst>
            <a:ext uri="{FF2B5EF4-FFF2-40B4-BE49-F238E27FC236}">
              <a16:creationId xmlns:a16="http://schemas.microsoft.com/office/drawing/2014/main" id="{1ACF2F6A-9F07-4B10-A9B6-A0B08EF9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75455" y="12481560"/>
          <a:ext cx="684530" cy="1718945"/>
        </a:xfrm>
        <a:prstGeom prst="rect">
          <a:avLst/>
        </a:prstGeom>
      </xdr:spPr>
    </xdr:pic>
    <xdr:clientData/>
  </xdr:twoCellAnchor>
  <xdr:twoCellAnchor>
    <xdr:from>
      <xdr:col>21</xdr:col>
      <xdr:colOff>880110</xdr:colOff>
      <xdr:row>55</xdr:row>
      <xdr:rowOff>162560</xdr:rowOff>
    </xdr:from>
    <xdr:to>
      <xdr:col>31</xdr:col>
      <xdr:colOff>253365</xdr:colOff>
      <xdr:row>85</xdr:row>
      <xdr:rowOff>153670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361EC10A-CA48-42E5-985A-42CA95B14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30</xdr:col>
      <xdr:colOff>274955</xdr:colOff>
      <xdr:row>72</xdr:row>
      <xdr:rowOff>161290</xdr:rowOff>
    </xdr:from>
    <xdr:to>
      <xdr:col>35</xdr:col>
      <xdr:colOff>92379</xdr:colOff>
      <xdr:row>80</xdr:row>
      <xdr:rowOff>39397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7D88AEF9-908E-43E5-B6F7-45ED90386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580975" y="12780010"/>
          <a:ext cx="633095" cy="13862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33</xdr:col>
      <xdr:colOff>276225</xdr:colOff>
      <xdr:row>27</xdr:row>
      <xdr:rowOff>121920</xdr:rowOff>
    </xdr:from>
    <xdr:to>
      <xdr:col>43</xdr:col>
      <xdr:colOff>256540</xdr:colOff>
      <xdr:row>49</xdr:row>
      <xdr:rowOff>57785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CF031011-CB3F-43A7-8D83-483D7D02C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40</xdr:col>
      <xdr:colOff>459740</xdr:colOff>
      <xdr:row>42</xdr:row>
      <xdr:rowOff>67945</xdr:rowOff>
    </xdr:from>
    <xdr:to>
      <xdr:col>43</xdr:col>
      <xdr:colOff>27304</xdr:colOff>
      <xdr:row>43</xdr:row>
      <xdr:rowOff>93427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7FE2110A-4A17-49AA-B945-C394A3AA0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692340" y="7428865"/>
          <a:ext cx="1419225" cy="2139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40</xdr:col>
      <xdr:colOff>464820</xdr:colOff>
      <xdr:row>43</xdr:row>
      <xdr:rowOff>87630</xdr:rowOff>
    </xdr:from>
    <xdr:to>
      <xdr:col>43</xdr:col>
      <xdr:colOff>18414</xdr:colOff>
      <xdr:row>44</xdr:row>
      <xdr:rowOff>76283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AAF5876D-3C4F-4131-B99C-D8EA80965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697420" y="7623810"/>
          <a:ext cx="1405255" cy="1771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UAWEI\Desktop\Simple_FingerPrint_Matching\database\bk.xlsx" TargetMode="External"/><Relationship Id="rId1" Type="http://schemas.openxmlformats.org/officeDocument/2006/relationships/externalLinkPath" Target="/Users/HUAWEI/Desktop/Simple_FingerPrint_Matching/database/b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43">
          <cell r="D43" t="str">
            <v>d=9.5</v>
          </cell>
          <cell r="E43" t="str">
            <v>d=10</v>
          </cell>
          <cell r="F43" t="str">
            <v>d=10.5</v>
          </cell>
          <cell r="G43" t="str">
            <v>d=11</v>
          </cell>
          <cell r="H43" t="str">
            <v>d=11.5</v>
          </cell>
          <cell r="I43" t="str">
            <v>d=12</v>
          </cell>
          <cell r="J43" t="str">
            <v>d=12.5</v>
          </cell>
          <cell r="M43" t="str">
            <v>θ=12.5</v>
          </cell>
          <cell r="N43" t="str">
            <v>θ=13</v>
          </cell>
          <cell r="O43" t="str">
            <v>θ=13.5</v>
          </cell>
          <cell r="P43" t="str">
            <v>θ=14</v>
          </cell>
          <cell r="Q43" t="str">
            <v>θ=14.5</v>
          </cell>
          <cell r="R43" t="str">
            <v>θ=15</v>
          </cell>
          <cell r="S43" t="str">
            <v>θ=15.5</v>
          </cell>
          <cell r="V43" t="str">
            <v>m=2</v>
          </cell>
          <cell r="W43" t="str">
            <v>m=3</v>
          </cell>
          <cell r="X43" t="str">
            <v>m=4</v>
          </cell>
          <cell r="Y43" t="str">
            <v>m=5</v>
          </cell>
          <cell r="Z43" t="str">
            <v>m=6</v>
          </cell>
          <cell r="AF43" t="str">
            <v>m=4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E44">
            <v>0</v>
          </cell>
          <cell r="AF44">
            <v>0</v>
          </cell>
          <cell r="AG44">
            <v>0</v>
          </cell>
        </row>
        <row r="45">
          <cell r="C45">
            <v>1</v>
          </cell>
          <cell r="D45">
            <v>0.25806451612903197</v>
          </cell>
          <cell r="E45">
            <v>0.28387096774193499</v>
          </cell>
          <cell r="F45">
            <v>0.29032258064516098</v>
          </cell>
          <cell r="G45">
            <v>0.33548387096774201</v>
          </cell>
          <cell r="H45">
            <v>0.309677419354839</v>
          </cell>
          <cell r="I45">
            <v>0.29032258064516098</v>
          </cell>
          <cell r="J45">
            <v>0.28387096774193499</v>
          </cell>
          <cell r="L45">
            <v>1</v>
          </cell>
          <cell r="M45">
            <v>0.29032258064516098</v>
          </cell>
          <cell r="N45">
            <v>0.28387096774193499</v>
          </cell>
          <cell r="O45">
            <v>0.30322580645161301</v>
          </cell>
          <cell r="P45">
            <v>0.32903225806451603</v>
          </cell>
          <cell r="Q45">
            <v>0.309677419354839</v>
          </cell>
          <cell r="R45">
            <v>0.30322580645161301</v>
          </cell>
          <cell r="S45">
            <v>0.29032258064516098</v>
          </cell>
          <cell r="U45">
            <v>1</v>
          </cell>
          <cell r="V45">
            <v>0.31105990783410198</v>
          </cell>
          <cell r="W45">
            <v>0.31267281105990802</v>
          </cell>
          <cell r="X45">
            <v>0.314285714285715</v>
          </cell>
          <cell r="Y45">
            <v>0.31589861751152098</v>
          </cell>
          <cell r="Z45">
            <v>0.32258064516128998</v>
          </cell>
          <cell r="AE45">
            <v>1</v>
          </cell>
          <cell r="AF45">
            <v>0.31419999999999998</v>
          </cell>
          <cell r="AG45">
            <v>0.32250000000000001</v>
          </cell>
        </row>
        <row r="46">
          <cell r="C46">
            <v>2</v>
          </cell>
          <cell r="D46">
            <v>0.4</v>
          </cell>
          <cell r="E46">
            <v>0.41935483870967699</v>
          </cell>
          <cell r="F46">
            <v>0.46451612903225797</v>
          </cell>
          <cell r="G46">
            <v>0.483870967741935</v>
          </cell>
          <cell r="H46">
            <v>0.46451612903225797</v>
          </cell>
          <cell r="I46">
            <v>0.445161290322581</v>
          </cell>
          <cell r="J46">
            <v>0.43225806451612903</v>
          </cell>
          <cell r="L46">
            <v>2</v>
          </cell>
          <cell r="M46">
            <v>0.45161290322580599</v>
          </cell>
          <cell r="N46">
            <v>0.445161290322581</v>
          </cell>
          <cell r="O46">
            <v>0.43870967741935502</v>
          </cell>
          <cell r="P46">
            <v>0.49032258064516099</v>
          </cell>
          <cell r="Q46">
            <v>0.46451612903225797</v>
          </cell>
          <cell r="R46">
            <v>0.45161290322580599</v>
          </cell>
          <cell r="S46">
            <v>0.445161290322581</v>
          </cell>
          <cell r="U46">
            <v>2</v>
          </cell>
          <cell r="V46">
            <v>0.36774193548387102</v>
          </cell>
          <cell r="W46">
            <v>0.43870967741935502</v>
          </cell>
          <cell r="X46">
            <v>0.49032258064516099</v>
          </cell>
          <cell r="Y46">
            <v>0.50322580645161297</v>
          </cell>
          <cell r="Z46">
            <v>0.50322580645161297</v>
          </cell>
          <cell r="AE46">
            <v>2</v>
          </cell>
          <cell r="AF46">
            <v>0.49</v>
          </cell>
          <cell r="AG46">
            <v>0.50319999999999998</v>
          </cell>
        </row>
        <row r="47">
          <cell r="C47">
            <v>3</v>
          </cell>
          <cell r="D47">
            <v>0.445161290322581</v>
          </cell>
          <cell r="E47">
            <v>0.46451612903225797</v>
          </cell>
          <cell r="F47">
            <v>0.51612903225806495</v>
          </cell>
          <cell r="G47">
            <v>0.54838709677419395</v>
          </cell>
          <cell r="H47">
            <v>0.52258064516128999</v>
          </cell>
          <cell r="I47">
            <v>0.50322580645161297</v>
          </cell>
          <cell r="J47">
            <v>0.483870967741936</v>
          </cell>
          <cell r="L47">
            <v>3</v>
          </cell>
          <cell r="M47">
            <v>0.50322580645161297</v>
          </cell>
          <cell r="N47">
            <v>0.49032258064516099</v>
          </cell>
          <cell r="O47">
            <v>0.483870967741935</v>
          </cell>
          <cell r="P47">
            <v>0.56774193548387097</v>
          </cell>
          <cell r="Q47">
            <v>0.52258064516128999</v>
          </cell>
          <cell r="R47">
            <v>0.50322580645161297</v>
          </cell>
          <cell r="S47">
            <v>0.50322580645161297</v>
          </cell>
          <cell r="U47">
            <v>3</v>
          </cell>
          <cell r="V47">
            <v>0.412903225806452</v>
          </cell>
          <cell r="W47">
            <v>0.483870967741936</v>
          </cell>
          <cell r="X47">
            <v>0.57419354838709602</v>
          </cell>
          <cell r="Y47">
            <v>0.57419354838709702</v>
          </cell>
          <cell r="Z47">
            <v>0.58064516129032195</v>
          </cell>
          <cell r="AE47">
            <v>3</v>
          </cell>
          <cell r="AF47">
            <v>0.57410000000000005</v>
          </cell>
          <cell r="AG47">
            <v>0.57999999999999996</v>
          </cell>
        </row>
        <row r="48">
          <cell r="C48">
            <v>4</v>
          </cell>
          <cell r="D48">
            <v>0.51612903225806495</v>
          </cell>
          <cell r="E48">
            <v>0.52258064516128999</v>
          </cell>
          <cell r="F48">
            <v>0.56129032258064504</v>
          </cell>
          <cell r="G48">
            <v>0.619354838709677</v>
          </cell>
          <cell r="H48">
            <v>0.59354838709677404</v>
          </cell>
          <cell r="I48">
            <v>0.56129032258064504</v>
          </cell>
          <cell r="J48">
            <v>0.54838709677419395</v>
          </cell>
          <cell r="L48">
            <v>4</v>
          </cell>
          <cell r="M48">
            <v>0.54838709677419395</v>
          </cell>
          <cell r="N48">
            <v>0.56129032258064504</v>
          </cell>
          <cell r="O48">
            <v>0.54193548387096802</v>
          </cell>
          <cell r="P48">
            <v>0.63870967741935503</v>
          </cell>
          <cell r="Q48">
            <v>0.59354838709677404</v>
          </cell>
          <cell r="R48">
            <v>0.6</v>
          </cell>
          <cell r="S48">
            <v>0.56129032258064504</v>
          </cell>
          <cell r="U48">
            <v>4</v>
          </cell>
          <cell r="V48">
            <v>0.483870967741936</v>
          </cell>
          <cell r="W48">
            <v>0.54193548387096802</v>
          </cell>
          <cell r="X48">
            <v>0.64516129032257996</v>
          </cell>
          <cell r="Y48">
            <v>0.64516129032258096</v>
          </cell>
          <cell r="Z48">
            <v>0.67741935483870896</v>
          </cell>
          <cell r="AE48">
            <v>4</v>
          </cell>
          <cell r="AF48">
            <v>0.64510000000000001</v>
          </cell>
          <cell r="AG48">
            <v>0.67741935483870896</v>
          </cell>
        </row>
        <row r="49">
          <cell r="C49">
            <v>5</v>
          </cell>
          <cell r="D49">
            <v>0.52258064516128999</v>
          </cell>
          <cell r="E49">
            <v>0.53548387096774197</v>
          </cell>
          <cell r="F49">
            <v>0.61290322580645196</v>
          </cell>
          <cell r="G49">
            <v>0.64516129032258096</v>
          </cell>
          <cell r="H49">
            <v>0.64516129032257996</v>
          </cell>
          <cell r="I49">
            <v>0.63225806451612898</v>
          </cell>
          <cell r="J49">
            <v>0.59354838709677504</v>
          </cell>
          <cell r="L49">
            <v>5</v>
          </cell>
          <cell r="M49">
            <v>0.6</v>
          </cell>
          <cell r="N49">
            <v>0.56774193548387097</v>
          </cell>
          <cell r="O49">
            <v>0.554838709677419</v>
          </cell>
          <cell r="P49">
            <v>0.66451612903225799</v>
          </cell>
          <cell r="Q49">
            <v>0.64516129032258096</v>
          </cell>
          <cell r="R49">
            <v>0.64516129032258096</v>
          </cell>
          <cell r="S49">
            <v>0.63225806451612898</v>
          </cell>
          <cell r="U49">
            <v>5</v>
          </cell>
          <cell r="V49">
            <v>0.49032258064516099</v>
          </cell>
          <cell r="W49">
            <v>0.55483870967741999</v>
          </cell>
          <cell r="X49">
            <v>0.67096774193548403</v>
          </cell>
          <cell r="Y49">
            <v>0.69677419354838699</v>
          </cell>
          <cell r="Z49">
            <v>0.72258064516128995</v>
          </cell>
          <cell r="AE49">
            <v>5</v>
          </cell>
          <cell r="AF49">
            <v>0.67090000000000005</v>
          </cell>
          <cell r="AG49">
            <v>0.72250000000000003</v>
          </cell>
        </row>
        <row r="50">
          <cell r="C50">
            <v>10</v>
          </cell>
          <cell r="D50">
            <v>0.59354838709677404</v>
          </cell>
          <cell r="E50">
            <v>0.60645161290322602</v>
          </cell>
          <cell r="F50">
            <v>0.69032258064516205</v>
          </cell>
          <cell r="G50">
            <v>0.73548387096774204</v>
          </cell>
          <cell r="H50">
            <v>0.72903225806451599</v>
          </cell>
          <cell r="I50">
            <v>0.72903225806451599</v>
          </cell>
          <cell r="J50">
            <v>0.69677419354838799</v>
          </cell>
          <cell r="L50">
            <v>10</v>
          </cell>
          <cell r="M50">
            <v>0.68387096774193501</v>
          </cell>
          <cell r="N50">
            <v>0.63870967741935503</v>
          </cell>
          <cell r="O50">
            <v>0.63225806451612898</v>
          </cell>
          <cell r="P50">
            <v>0.72903225806451599</v>
          </cell>
          <cell r="Q50">
            <v>0.72903225806451599</v>
          </cell>
          <cell r="R50">
            <v>0.68387096774193601</v>
          </cell>
          <cell r="S50">
            <v>0.72258064516128995</v>
          </cell>
          <cell r="U50">
            <v>10</v>
          </cell>
          <cell r="V50">
            <v>0.56129032258064504</v>
          </cell>
          <cell r="W50">
            <v>0.63225806451612898</v>
          </cell>
          <cell r="X50">
            <v>0.73548387096774204</v>
          </cell>
          <cell r="Y50">
            <v>0.75483870967741895</v>
          </cell>
          <cell r="Z50">
            <v>0.761290322580645</v>
          </cell>
          <cell r="AE50">
            <v>10</v>
          </cell>
          <cell r="AF50">
            <v>0.73540000000000005</v>
          </cell>
          <cell r="AG50">
            <v>0.76119999999999999</v>
          </cell>
        </row>
        <row r="51">
          <cell r="C51">
            <v>20</v>
          </cell>
          <cell r="D51">
            <v>0.70967741935483897</v>
          </cell>
          <cell r="E51">
            <v>0.72903225806451599</v>
          </cell>
          <cell r="F51">
            <v>0.74193548387096797</v>
          </cell>
          <cell r="G51">
            <v>0.793548387096774</v>
          </cell>
          <cell r="H51">
            <v>0.761290322580645</v>
          </cell>
          <cell r="I51">
            <v>0.761290322580645</v>
          </cell>
          <cell r="J51">
            <v>0.72903225806451699</v>
          </cell>
          <cell r="L51">
            <v>20</v>
          </cell>
          <cell r="M51">
            <v>0.74838709677419402</v>
          </cell>
          <cell r="N51">
            <v>0.75483870967741995</v>
          </cell>
          <cell r="O51">
            <v>0.75483870967741895</v>
          </cell>
          <cell r="P51">
            <v>0.78064516129032302</v>
          </cell>
          <cell r="Q51">
            <v>0.761290322580645</v>
          </cell>
          <cell r="R51">
            <v>0.71612903225806501</v>
          </cell>
          <cell r="S51">
            <v>0.75483870967741895</v>
          </cell>
          <cell r="U51">
            <v>20</v>
          </cell>
          <cell r="V51">
            <v>0.67741935483870996</v>
          </cell>
          <cell r="W51">
            <v>0.75483870967741895</v>
          </cell>
          <cell r="X51">
            <v>0.78709677419354795</v>
          </cell>
          <cell r="Y51">
            <v>0.78709677419354795</v>
          </cell>
          <cell r="Z51">
            <v>0.793548387096774</v>
          </cell>
          <cell r="AE51">
            <v>20</v>
          </cell>
          <cell r="AF51">
            <v>0.78700000000000003</v>
          </cell>
          <cell r="AG51">
            <v>0.79349999999999998</v>
          </cell>
        </row>
        <row r="52">
          <cell r="C52">
            <v>30</v>
          </cell>
          <cell r="D52">
            <v>0.80645161290322698</v>
          </cell>
          <cell r="E52">
            <v>0.80645161290322598</v>
          </cell>
          <cell r="F52">
            <v>0.85161290322580696</v>
          </cell>
          <cell r="G52">
            <v>0.84516129032258103</v>
          </cell>
          <cell r="H52">
            <v>0.83870967741935498</v>
          </cell>
          <cell r="I52">
            <v>0.78064516129032302</v>
          </cell>
          <cell r="J52">
            <v>0.76774193548387204</v>
          </cell>
          <cell r="L52">
            <v>30</v>
          </cell>
          <cell r="M52">
            <v>0.85806451612903301</v>
          </cell>
          <cell r="N52">
            <v>0.85161290322580696</v>
          </cell>
          <cell r="O52">
            <v>0.83225806451612805</v>
          </cell>
          <cell r="P52">
            <v>0.83225806451612905</v>
          </cell>
          <cell r="Q52">
            <v>0.83870967741935498</v>
          </cell>
          <cell r="R52">
            <v>0.76774193548387104</v>
          </cell>
          <cell r="S52">
            <v>0.793548387096774</v>
          </cell>
          <cell r="U52">
            <v>30</v>
          </cell>
          <cell r="V52">
            <v>0.77419354838709697</v>
          </cell>
          <cell r="W52">
            <v>0.793548387096774</v>
          </cell>
          <cell r="X52">
            <v>0.83870967741935498</v>
          </cell>
          <cell r="Y52">
            <v>0.86451612903225805</v>
          </cell>
          <cell r="Z52">
            <v>0.84516129032258003</v>
          </cell>
          <cell r="AE52">
            <v>30</v>
          </cell>
          <cell r="AF52">
            <v>0.8387</v>
          </cell>
          <cell r="AG52">
            <v>0.84509999999999996</v>
          </cell>
        </row>
        <row r="53">
          <cell r="C53">
            <v>40</v>
          </cell>
          <cell r="D53">
            <v>0.85806451612903301</v>
          </cell>
          <cell r="E53">
            <v>0.87741935483871003</v>
          </cell>
          <cell r="F53">
            <v>0.87096774193548399</v>
          </cell>
          <cell r="G53">
            <v>0.92258064516129001</v>
          </cell>
          <cell r="H53">
            <v>0.85161290322580596</v>
          </cell>
          <cell r="I53">
            <v>0.84516129032258103</v>
          </cell>
          <cell r="J53">
            <v>0.81290322580645202</v>
          </cell>
          <cell r="L53">
            <v>40</v>
          </cell>
          <cell r="M53">
            <v>0.90967741935483903</v>
          </cell>
          <cell r="N53">
            <v>0.90322580645161299</v>
          </cell>
          <cell r="O53">
            <v>0.90322580645161199</v>
          </cell>
          <cell r="P53">
            <v>0.90967741935483903</v>
          </cell>
          <cell r="Q53">
            <v>0.85161290322580696</v>
          </cell>
          <cell r="R53">
            <v>0.81935483870967796</v>
          </cell>
          <cell r="S53">
            <v>0.85806451612903201</v>
          </cell>
          <cell r="U53">
            <v>40</v>
          </cell>
          <cell r="V53">
            <v>0.825806451612903</v>
          </cell>
          <cell r="W53">
            <v>0.86451612903225805</v>
          </cell>
          <cell r="X53">
            <v>0.88387096774193497</v>
          </cell>
          <cell r="Y53">
            <v>0.87741935483871003</v>
          </cell>
          <cell r="Z53">
            <v>0.89677419354838706</v>
          </cell>
          <cell r="AE53">
            <v>40</v>
          </cell>
          <cell r="AF53">
            <v>0.88380000000000003</v>
          </cell>
          <cell r="AG53">
            <v>0.89670000000000005</v>
          </cell>
        </row>
        <row r="54">
          <cell r="C54">
            <v>50</v>
          </cell>
          <cell r="D54">
            <v>0.90322580645161399</v>
          </cell>
          <cell r="E54">
            <v>0.90967741935483903</v>
          </cell>
          <cell r="F54">
            <v>0.93548387096774299</v>
          </cell>
          <cell r="G54">
            <v>0.967741935483871</v>
          </cell>
          <cell r="H54">
            <v>0.88387096774193497</v>
          </cell>
          <cell r="I54">
            <v>0.88387096774193596</v>
          </cell>
          <cell r="J54">
            <v>0.87096774193548498</v>
          </cell>
          <cell r="L54">
            <v>50</v>
          </cell>
          <cell r="M54">
            <v>0.94193548387096804</v>
          </cell>
          <cell r="N54">
            <v>0.94838709677419397</v>
          </cell>
          <cell r="O54">
            <v>0.93548387096774099</v>
          </cell>
          <cell r="P54">
            <v>0.95483870967741902</v>
          </cell>
          <cell r="Q54">
            <v>0.88387096774193596</v>
          </cell>
          <cell r="R54">
            <v>0.87741935483871003</v>
          </cell>
          <cell r="S54">
            <v>0.89677419354838706</v>
          </cell>
          <cell r="U54">
            <v>50</v>
          </cell>
          <cell r="V54">
            <v>0.87096774193548399</v>
          </cell>
          <cell r="W54">
            <v>0.89677419354838706</v>
          </cell>
          <cell r="X54">
            <v>0.92258064516129001</v>
          </cell>
          <cell r="Y54">
            <v>0.90967741935483903</v>
          </cell>
          <cell r="Z54">
            <v>0.95483870967741902</v>
          </cell>
          <cell r="AE54">
            <v>50</v>
          </cell>
          <cell r="AF54">
            <v>0.92249999999999999</v>
          </cell>
          <cell r="AG54">
            <v>0.95479999999999998</v>
          </cell>
        </row>
        <row r="55">
          <cell r="C55">
            <v>60</v>
          </cell>
          <cell r="D55">
            <v>0.967741935483872</v>
          </cell>
          <cell r="E55">
            <v>0.97419354838709704</v>
          </cell>
          <cell r="F55">
            <v>0.99354838709677495</v>
          </cell>
          <cell r="G55">
            <v>0.98709677419354802</v>
          </cell>
          <cell r="H55">
            <v>0.97419354838709604</v>
          </cell>
          <cell r="I55">
            <v>0.97419354838709704</v>
          </cell>
          <cell r="J55">
            <v>0.94838709677419397</v>
          </cell>
          <cell r="L55">
            <v>60</v>
          </cell>
          <cell r="M55">
            <v>0.99354838709677495</v>
          </cell>
          <cell r="N55">
            <v>0.967741935483872</v>
          </cell>
          <cell r="O55">
            <v>0.97419354838709604</v>
          </cell>
          <cell r="P55">
            <v>0.98709677419354802</v>
          </cell>
          <cell r="Q55">
            <v>0.97419354838709704</v>
          </cell>
          <cell r="R55">
            <v>0.94838709677419397</v>
          </cell>
          <cell r="S55">
            <v>0.97419354838709704</v>
          </cell>
          <cell r="U55">
            <v>60</v>
          </cell>
          <cell r="V55">
            <v>0.94193548387096804</v>
          </cell>
          <cell r="W55">
            <v>0.97419354838709604</v>
          </cell>
          <cell r="X55">
            <v>0.98064516129032198</v>
          </cell>
          <cell r="Y55">
            <v>0.97419354838709704</v>
          </cell>
          <cell r="Z55">
            <v>0.99354838709677396</v>
          </cell>
          <cell r="AE55">
            <v>60</v>
          </cell>
          <cell r="AF55">
            <v>0.98060000000000003</v>
          </cell>
          <cell r="AG55">
            <v>0.99350000000000005</v>
          </cell>
        </row>
        <row r="85">
          <cell r="L85">
            <v>0</v>
          </cell>
          <cell r="M85">
            <v>0</v>
          </cell>
        </row>
        <row r="86">
          <cell r="H86">
            <v>1</v>
          </cell>
          <cell r="I86">
            <v>0.71889999999999998</v>
          </cell>
          <cell r="L86">
            <v>1</v>
          </cell>
          <cell r="M86">
            <v>0.71889999999999998</v>
          </cell>
        </row>
        <row r="87">
          <cell r="H87">
            <v>10</v>
          </cell>
          <cell r="I87">
            <v>7.8E-2</v>
          </cell>
          <cell r="L87">
            <v>10</v>
          </cell>
          <cell r="M87">
            <v>0.79689999999999994</v>
          </cell>
        </row>
        <row r="88">
          <cell r="H88">
            <v>20</v>
          </cell>
          <cell r="I88">
            <v>1.9E-2</v>
          </cell>
          <cell r="L88">
            <v>20</v>
          </cell>
          <cell r="M88">
            <v>0.81589999999999996</v>
          </cell>
        </row>
        <row r="89">
          <cell r="H89">
            <v>30</v>
          </cell>
          <cell r="I89">
            <v>6.0000000000000001E-3</v>
          </cell>
          <cell r="L89">
            <v>30</v>
          </cell>
          <cell r="M89">
            <v>0.82189999999999996</v>
          </cell>
        </row>
        <row r="90">
          <cell r="H90">
            <v>40</v>
          </cell>
          <cell r="I90">
            <v>8.4000000000000005E-2</v>
          </cell>
          <cell r="L90">
            <v>40</v>
          </cell>
          <cell r="M90">
            <v>0.90589999999999993</v>
          </cell>
        </row>
        <row r="91">
          <cell r="H91">
            <v>50</v>
          </cell>
          <cell r="I91">
            <v>8.4000000000000005E-2</v>
          </cell>
          <cell r="L91">
            <v>50</v>
          </cell>
          <cell r="M91">
            <v>0.98989999999999989</v>
          </cell>
        </row>
        <row r="92">
          <cell r="H92">
            <v>60</v>
          </cell>
          <cell r="I92">
            <v>1.0100000000000109E-2</v>
          </cell>
          <cell r="L92">
            <v>60</v>
          </cell>
          <cell r="M9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0B87-AB23-4E50-A8E5-4D6019B2E459}">
  <dimension ref="A1:AG158"/>
  <sheetViews>
    <sheetView topLeftCell="AG25" zoomScale="115" zoomScaleNormal="115" workbookViewId="0">
      <selection activeCell="AS32" sqref="AS32"/>
    </sheetView>
  </sheetViews>
  <sheetFormatPr defaultColWidth="9" defaultRowHeight="14.4" x14ac:dyDescent="0.25"/>
  <cols>
    <col min="1" max="2" width="9" style="5"/>
    <col min="3" max="3" width="9" style="2"/>
    <col min="4" max="16384" width="9" style="5"/>
  </cols>
  <sheetData>
    <row r="1" spans="1:32" s="1" customFormat="1" x14ac:dyDescent="0.25">
      <c r="C1" s="2"/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L1" s="2"/>
      <c r="M1" s="3" t="s">
        <v>7</v>
      </c>
      <c r="N1" s="3" t="s">
        <v>8</v>
      </c>
      <c r="O1" s="3" t="s">
        <v>9</v>
      </c>
      <c r="P1" s="3" t="s">
        <v>10</v>
      </c>
      <c r="Q1" s="3" t="s">
        <v>11</v>
      </c>
      <c r="R1" s="3" t="s">
        <v>12</v>
      </c>
      <c r="S1" s="3" t="s">
        <v>13</v>
      </c>
      <c r="V1" s="1" t="s">
        <v>14</v>
      </c>
      <c r="W1" s="1" t="s">
        <v>15</v>
      </c>
      <c r="X1" s="1" t="s">
        <v>16</v>
      </c>
      <c r="Y1" s="1" t="s">
        <v>17</v>
      </c>
      <c r="Z1" s="1" t="s">
        <v>18</v>
      </c>
    </row>
    <row r="2" spans="1:32" x14ac:dyDescent="0.25">
      <c r="A2" s="4">
        <v>1</v>
      </c>
      <c r="C2" s="2">
        <v>1</v>
      </c>
      <c r="D2" s="5">
        <v>40</v>
      </c>
      <c r="E2" s="5">
        <v>44</v>
      </c>
      <c r="F2" s="5">
        <v>45</v>
      </c>
      <c r="G2" s="5">
        <v>50</v>
      </c>
      <c r="H2" s="5">
        <v>48</v>
      </c>
      <c r="I2" s="5">
        <v>45</v>
      </c>
      <c r="J2" s="5">
        <v>44</v>
      </c>
      <c r="L2" s="2">
        <v>1</v>
      </c>
      <c r="M2" s="5">
        <v>45</v>
      </c>
      <c r="N2" s="5">
        <v>44</v>
      </c>
      <c r="O2" s="5">
        <v>47</v>
      </c>
      <c r="P2" s="5">
        <v>51</v>
      </c>
      <c r="Q2" s="5">
        <v>48</v>
      </c>
      <c r="R2" s="5">
        <v>47</v>
      </c>
      <c r="S2" s="5">
        <v>45</v>
      </c>
      <c r="U2" s="2">
        <v>1</v>
      </c>
      <c r="V2" s="5">
        <v>42</v>
      </c>
      <c r="W2" s="5">
        <v>47</v>
      </c>
      <c r="X2" s="5">
        <v>51</v>
      </c>
      <c r="Y2" s="5">
        <v>51</v>
      </c>
      <c r="Z2" s="5">
        <v>50</v>
      </c>
      <c r="AE2" s="5">
        <v>1</v>
      </c>
      <c r="AF2" s="5">
        <v>51</v>
      </c>
    </row>
    <row r="3" spans="1:32" x14ac:dyDescent="0.25">
      <c r="A3" s="4">
        <v>1</v>
      </c>
      <c r="C3" s="2">
        <v>2</v>
      </c>
      <c r="D3" s="5">
        <v>22</v>
      </c>
      <c r="E3" s="5">
        <v>21</v>
      </c>
      <c r="F3" s="5">
        <v>27</v>
      </c>
      <c r="G3" s="5">
        <v>25</v>
      </c>
      <c r="H3" s="5">
        <v>24</v>
      </c>
      <c r="I3" s="5">
        <v>24</v>
      </c>
      <c r="J3" s="5">
        <v>23</v>
      </c>
      <c r="L3" s="2">
        <v>2</v>
      </c>
      <c r="M3" s="5">
        <v>25</v>
      </c>
      <c r="N3" s="5">
        <v>25</v>
      </c>
      <c r="O3" s="5">
        <v>21</v>
      </c>
      <c r="P3" s="5">
        <v>25</v>
      </c>
      <c r="Q3" s="5">
        <v>24</v>
      </c>
      <c r="R3" s="5">
        <v>23</v>
      </c>
      <c r="S3" s="5">
        <v>24</v>
      </c>
      <c r="U3" s="2">
        <v>2</v>
      </c>
      <c r="V3" s="5">
        <v>15</v>
      </c>
      <c r="W3" s="5">
        <v>21</v>
      </c>
      <c r="X3" s="5">
        <v>25</v>
      </c>
      <c r="Y3" s="5">
        <v>27</v>
      </c>
      <c r="Z3" s="5">
        <v>28</v>
      </c>
      <c r="AE3" s="5">
        <v>2</v>
      </c>
      <c r="AF3" s="5">
        <v>25</v>
      </c>
    </row>
    <row r="4" spans="1:32" x14ac:dyDescent="0.25">
      <c r="A4" s="4">
        <v>1</v>
      </c>
      <c r="C4" s="2">
        <v>3</v>
      </c>
      <c r="D4" s="5">
        <v>7</v>
      </c>
      <c r="E4" s="5">
        <v>7</v>
      </c>
      <c r="F4" s="5">
        <v>8</v>
      </c>
      <c r="G4" s="5">
        <v>10</v>
      </c>
      <c r="H4" s="5">
        <v>9</v>
      </c>
      <c r="I4" s="5">
        <v>9</v>
      </c>
      <c r="J4" s="5">
        <v>8</v>
      </c>
      <c r="L4" s="2">
        <v>3</v>
      </c>
      <c r="M4" s="5">
        <v>8</v>
      </c>
      <c r="N4" s="5">
        <v>7</v>
      </c>
      <c r="O4" s="5">
        <v>7</v>
      </c>
      <c r="P4" s="5">
        <v>12</v>
      </c>
      <c r="Q4" s="5">
        <v>9</v>
      </c>
      <c r="R4" s="5">
        <v>8</v>
      </c>
      <c r="S4" s="5">
        <v>9</v>
      </c>
      <c r="U4" s="2">
        <v>3</v>
      </c>
      <c r="V4" s="5">
        <v>7</v>
      </c>
      <c r="W4" s="5">
        <v>7</v>
      </c>
      <c r="X4" s="5">
        <v>13</v>
      </c>
      <c r="Y4" s="5">
        <v>11</v>
      </c>
      <c r="Z4" s="5">
        <v>12</v>
      </c>
      <c r="AE4" s="5">
        <v>3</v>
      </c>
      <c r="AF4" s="5">
        <v>13</v>
      </c>
    </row>
    <row r="5" spans="1:32" x14ac:dyDescent="0.25">
      <c r="A5" s="4">
        <v>1</v>
      </c>
      <c r="C5" s="2">
        <v>4</v>
      </c>
      <c r="D5" s="5">
        <v>11</v>
      </c>
      <c r="E5" s="5">
        <v>9</v>
      </c>
      <c r="F5" s="5">
        <v>7</v>
      </c>
      <c r="G5" s="5">
        <v>11</v>
      </c>
      <c r="H5" s="5">
        <v>11</v>
      </c>
      <c r="I5" s="5">
        <v>9</v>
      </c>
      <c r="J5" s="5">
        <v>10</v>
      </c>
      <c r="L5" s="2">
        <v>4</v>
      </c>
      <c r="M5" s="5">
        <v>7</v>
      </c>
      <c r="N5" s="5">
        <v>11</v>
      </c>
      <c r="O5" s="5">
        <v>9</v>
      </c>
      <c r="P5" s="5">
        <v>11</v>
      </c>
      <c r="Q5" s="5">
        <v>11</v>
      </c>
      <c r="R5" s="5">
        <v>15</v>
      </c>
      <c r="S5" s="5">
        <v>9</v>
      </c>
      <c r="U5" s="2">
        <v>4</v>
      </c>
      <c r="V5" s="5">
        <v>11</v>
      </c>
      <c r="W5" s="5">
        <v>9</v>
      </c>
      <c r="X5" s="5">
        <v>11</v>
      </c>
      <c r="Y5" s="5">
        <v>11</v>
      </c>
      <c r="Z5" s="5">
        <v>15</v>
      </c>
      <c r="AE5" s="5">
        <v>4</v>
      </c>
      <c r="AF5" s="5">
        <v>11</v>
      </c>
    </row>
    <row r="6" spans="1:32" x14ac:dyDescent="0.25">
      <c r="A6" s="4">
        <v>1</v>
      </c>
      <c r="C6" s="2">
        <v>5</v>
      </c>
      <c r="D6" s="5">
        <v>1</v>
      </c>
      <c r="E6" s="5">
        <v>2</v>
      </c>
      <c r="F6" s="5">
        <v>8</v>
      </c>
      <c r="G6" s="5">
        <v>4</v>
      </c>
      <c r="H6" s="5">
        <v>8</v>
      </c>
      <c r="I6" s="5">
        <v>11</v>
      </c>
      <c r="J6" s="5">
        <v>7</v>
      </c>
      <c r="L6" s="2">
        <v>5</v>
      </c>
      <c r="M6" s="5">
        <v>8</v>
      </c>
      <c r="N6" s="5">
        <v>1</v>
      </c>
      <c r="O6" s="5">
        <v>2</v>
      </c>
      <c r="P6" s="5">
        <v>4</v>
      </c>
      <c r="Q6" s="5">
        <v>8</v>
      </c>
      <c r="R6" s="5">
        <v>7</v>
      </c>
      <c r="S6" s="5">
        <v>11</v>
      </c>
      <c r="U6" s="2">
        <v>5</v>
      </c>
      <c r="V6" s="5">
        <v>1</v>
      </c>
      <c r="W6" s="5">
        <v>2</v>
      </c>
      <c r="X6" s="5">
        <v>4</v>
      </c>
      <c r="Y6" s="5">
        <v>8</v>
      </c>
      <c r="Z6" s="5">
        <v>7</v>
      </c>
      <c r="AE6" s="5">
        <v>5</v>
      </c>
      <c r="AF6" s="5">
        <v>4</v>
      </c>
    </row>
    <row r="7" spans="1:32" x14ac:dyDescent="0.25">
      <c r="A7" s="4">
        <v>1</v>
      </c>
      <c r="C7" s="2" t="s">
        <v>19</v>
      </c>
      <c r="D7" s="5">
        <v>11</v>
      </c>
      <c r="E7" s="5">
        <v>11</v>
      </c>
      <c r="F7" s="5">
        <v>12</v>
      </c>
      <c r="G7" s="5">
        <v>14</v>
      </c>
      <c r="H7" s="5">
        <v>13</v>
      </c>
      <c r="I7" s="5">
        <v>15</v>
      </c>
      <c r="J7" s="5">
        <v>16</v>
      </c>
      <c r="L7" s="2" t="s">
        <v>19</v>
      </c>
      <c r="M7" s="5">
        <v>13</v>
      </c>
      <c r="N7" s="5">
        <v>11</v>
      </c>
      <c r="O7" s="5">
        <v>12</v>
      </c>
      <c r="P7" s="5">
        <v>10</v>
      </c>
      <c r="Q7" s="5">
        <v>13</v>
      </c>
      <c r="R7" s="5">
        <v>6</v>
      </c>
      <c r="S7" s="5">
        <v>14</v>
      </c>
      <c r="U7" s="2" t="s">
        <v>19</v>
      </c>
      <c r="V7" s="5">
        <v>11</v>
      </c>
      <c r="W7" s="5">
        <v>12</v>
      </c>
      <c r="X7" s="5">
        <v>10</v>
      </c>
      <c r="Y7" s="5">
        <v>9</v>
      </c>
      <c r="Z7" s="5">
        <v>6</v>
      </c>
      <c r="AE7" s="5">
        <v>10</v>
      </c>
      <c r="AF7" s="5">
        <v>10</v>
      </c>
    </row>
    <row r="8" spans="1:32" x14ac:dyDescent="0.25">
      <c r="A8" s="4">
        <v>1</v>
      </c>
      <c r="C8" s="2" t="s">
        <v>20</v>
      </c>
      <c r="D8" s="5">
        <v>18</v>
      </c>
      <c r="E8" s="5">
        <v>19</v>
      </c>
      <c r="F8" s="5">
        <v>8</v>
      </c>
      <c r="G8" s="5">
        <v>9</v>
      </c>
      <c r="H8" s="5">
        <v>5</v>
      </c>
      <c r="I8" s="5">
        <v>5</v>
      </c>
      <c r="J8" s="5">
        <v>5</v>
      </c>
      <c r="L8" s="2" t="s">
        <v>20</v>
      </c>
      <c r="M8" s="5">
        <v>10</v>
      </c>
      <c r="N8" s="5">
        <v>18</v>
      </c>
      <c r="O8" s="5">
        <v>19</v>
      </c>
      <c r="P8" s="5">
        <v>8</v>
      </c>
      <c r="Q8" s="5">
        <v>5</v>
      </c>
      <c r="R8" s="5">
        <v>5</v>
      </c>
      <c r="S8" s="5">
        <v>5</v>
      </c>
      <c r="U8" s="2" t="s">
        <v>20</v>
      </c>
      <c r="V8" s="5">
        <v>18</v>
      </c>
      <c r="W8" s="5">
        <v>19</v>
      </c>
      <c r="X8" s="5">
        <v>8</v>
      </c>
      <c r="Y8" s="5">
        <v>5</v>
      </c>
      <c r="Z8" s="5">
        <v>5</v>
      </c>
      <c r="AE8" s="5">
        <v>20</v>
      </c>
      <c r="AF8" s="5">
        <v>8</v>
      </c>
    </row>
    <row r="9" spans="1:32" x14ac:dyDescent="0.25">
      <c r="A9" s="4">
        <v>1</v>
      </c>
      <c r="C9" s="2" t="s">
        <v>21</v>
      </c>
      <c r="D9" s="5">
        <v>15</v>
      </c>
      <c r="E9" s="5">
        <v>12</v>
      </c>
      <c r="F9" s="5">
        <v>17</v>
      </c>
      <c r="G9" s="5">
        <v>8</v>
      </c>
      <c r="H9" s="5">
        <v>12</v>
      </c>
      <c r="I9" s="5">
        <v>3</v>
      </c>
      <c r="J9" s="5">
        <v>6</v>
      </c>
      <c r="L9" s="2" t="s">
        <v>21</v>
      </c>
      <c r="M9" s="5">
        <v>17</v>
      </c>
      <c r="N9" s="5">
        <v>15</v>
      </c>
      <c r="O9" s="5">
        <v>12</v>
      </c>
      <c r="P9" s="5">
        <v>8</v>
      </c>
      <c r="Q9" s="5">
        <v>12</v>
      </c>
      <c r="R9" s="5">
        <v>8</v>
      </c>
      <c r="S9" s="5">
        <v>6</v>
      </c>
      <c r="U9" s="2" t="s">
        <v>21</v>
      </c>
      <c r="V9" s="5">
        <v>15</v>
      </c>
      <c r="W9" s="5">
        <v>6</v>
      </c>
      <c r="X9" s="5">
        <v>8</v>
      </c>
      <c r="Y9" s="5">
        <v>12</v>
      </c>
      <c r="Z9" s="5">
        <v>8</v>
      </c>
      <c r="AE9" s="5">
        <v>30</v>
      </c>
      <c r="AF9" s="5">
        <v>8</v>
      </c>
    </row>
    <row r="10" spans="1:32" x14ac:dyDescent="0.25">
      <c r="A10" s="4">
        <v>1</v>
      </c>
      <c r="C10" s="2" t="s">
        <v>22</v>
      </c>
      <c r="D10" s="5">
        <v>8</v>
      </c>
      <c r="E10" s="5">
        <v>11</v>
      </c>
      <c r="F10" s="5">
        <v>3</v>
      </c>
      <c r="G10" s="5">
        <v>12</v>
      </c>
      <c r="H10" s="5">
        <v>2</v>
      </c>
      <c r="I10" s="5">
        <v>10</v>
      </c>
      <c r="J10" s="5">
        <v>7</v>
      </c>
      <c r="L10" s="2" t="s">
        <v>22</v>
      </c>
      <c r="M10" s="5">
        <v>8</v>
      </c>
      <c r="N10" s="5">
        <v>8</v>
      </c>
      <c r="O10" s="5">
        <v>11</v>
      </c>
      <c r="P10" s="5">
        <v>12</v>
      </c>
      <c r="Q10" s="5">
        <v>2</v>
      </c>
      <c r="R10" s="5">
        <v>8</v>
      </c>
      <c r="S10" s="5">
        <v>10</v>
      </c>
      <c r="U10" s="2" t="s">
        <v>22</v>
      </c>
      <c r="V10" s="5">
        <v>8</v>
      </c>
      <c r="W10" s="5">
        <v>11</v>
      </c>
      <c r="X10" s="5">
        <v>7</v>
      </c>
      <c r="Y10" s="5">
        <v>2</v>
      </c>
      <c r="Z10" s="5">
        <v>8</v>
      </c>
      <c r="AE10" s="5">
        <v>40</v>
      </c>
      <c r="AF10" s="5">
        <v>7</v>
      </c>
    </row>
    <row r="11" spans="1:32" x14ac:dyDescent="0.25">
      <c r="A11" s="4">
        <v>1</v>
      </c>
      <c r="C11" s="2" t="s">
        <v>23</v>
      </c>
      <c r="D11" s="5">
        <v>7</v>
      </c>
      <c r="E11" s="5">
        <v>5</v>
      </c>
      <c r="F11" s="5">
        <v>10</v>
      </c>
      <c r="G11" s="5">
        <v>7</v>
      </c>
      <c r="H11" s="5">
        <v>5</v>
      </c>
      <c r="I11" s="5">
        <v>6</v>
      </c>
      <c r="J11" s="5">
        <v>9</v>
      </c>
      <c r="L11" s="2" t="s">
        <v>23</v>
      </c>
      <c r="M11" s="5">
        <v>5</v>
      </c>
      <c r="N11" s="5">
        <v>7</v>
      </c>
      <c r="O11" s="5">
        <v>5</v>
      </c>
      <c r="P11" s="5">
        <v>7</v>
      </c>
      <c r="Q11" s="5">
        <v>5</v>
      </c>
      <c r="R11" s="5">
        <v>9</v>
      </c>
      <c r="S11" s="5">
        <v>6</v>
      </c>
      <c r="U11" s="2" t="s">
        <v>23</v>
      </c>
      <c r="V11" s="5">
        <v>7</v>
      </c>
      <c r="W11" s="5">
        <v>5</v>
      </c>
      <c r="X11" s="5">
        <v>6</v>
      </c>
      <c r="Y11" s="5">
        <v>5</v>
      </c>
      <c r="Z11" s="5">
        <v>9</v>
      </c>
      <c r="AE11" s="5">
        <v>50</v>
      </c>
      <c r="AF11" s="5">
        <v>6</v>
      </c>
    </row>
    <row r="12" spans="1:32" x14ac:dyDescent="0.25">
      <c r="A12" s="4">
        <v>1</v>
      </c>
      <c r="C12" s="2" t="s">
        <v>24</v>
      </c>
      <c r="D12" s="5">
        <f t="shared" ref="D12:J12" si="0">155-D2-D3-D4-D5-D6-D7-D8-D9-D10-D11-D13</f>
        <v>10</v>
      </c>
      <c r="E12" s="5">
        <f t="shared" si="0"/>
        <v>10</v>
      </c>
      <c r="F12" s="5">
        <f t="shared" si="0"/>
        <v>9</v>
      </c>
      <c r="G12" s="5">
        <f t="shared" si="0"/>
        <v>3</v>
      </c>
      <c r="H12" s="5">
        <f t="shared" si="0"/>
        <v>14</v>
      </c>
      <c r="I12" s="5">
        <f t="shared" si="0"/>
        <v>14</v>
      </c>
      <c r="J12" s="5">
        <f t="shared" si="0"/>
        <v>12</v>
      </c>
      <c r="L12" s="2" t="s">
        <v>24</v>
      </c>
      <c r="M12" s="5">
        <f t="shared" ref="M12:S12" si="1">155-M2-M3-M4-M5-M6-M7-M8-M9-M10-M11-M13</f>
        <v>8</v>
      </c>
      <c r="N12" s="5">
        <f t="shared" si="1"/>
        <v>3</v>
      </c>
      <c r="O12" s="5">
        <f t="shared" si="1"/>
        <v>6</v>
      </c>
      <c r="P12" s="5">
        <f t="shared" si="1"/>
        <v>5</v>
      </c>
      <c r="Q12" s="5">
        <f t="shared" si="1"/>
        <v>14</v>
      </c>
      <c r="R12" s="5">
        <f t="shared" si="1"/>
        <v>11</v>
      </c>
      <c r="S12" s="5">
        <f t="shared" si="1"/>
        <v>12</v>
      </c>
      <c r="U12" s="2" t="s">
        <v>24</v>
      </c>
      <c r="V12" s="5">
        <f t="shared" ref="V12:Z12" si="2">155-V2-V3-V4-V5-V6-V7-V8-V9-V10-V11-V13</f>
        <v>11</v>
      </c>
      <c r="W12" s="5">
        <f t="shared" si="2"/>
        <v>12</v>
      </c>
      <c r="X12" s="5">
        <f t="shared" si="2"/>
        <v>9</v>
      </c>
      <c r="Y12" s="5">
        <f t="shared" si="2"/>
        <v>10</v>
      </c>
      <c r="Z12" s="5">
        <f t="shared" si="2"/>
        <v>6</v>
      </c>
      <c r="AE12" s="5">
        <v>60</v>
      </c>
      <c r="AF12" s="5">
        <v>9</v>
      </c>
    </row>
    <row r="13" spans="1:32" x14ac:dyDescent="0.25">
      <c r="A13" s="4">
        <v>1</v>
      </c>
      <c r="C13" s="2" t="s">
        <v>25</v>
      </c>
      <c r="D13" s="5">
        <v>5</v>
      </c>
      <c r="E13" s="5">
        <v>4</v>
      </c>
      <c r="F13" s="5">
        <v>1</v>
      </c>
      <c r="G13" s="5">
        <v>2</v>
      </c>
      <c r="H13" s="5">
        <v>4</v>
      </c>
      <c r="I13" s="5">
        <v>4</v>
      </c>
      <c r="J13" s="5">
        <v>8</v>
      </c>
      <c r="L13" s="2" t="s">
        <v>25</v>
      </c>
      <c r="M13" s="5">
        <v>1</v>
      </c>
      <c r="N13" s="5">
        <v>5</v>
      </c>
      <c r="O13" s="5">
        <v>4</v>
      </c>
      <c r="P13" s="5">
        <v>2</v>
      </c>
      <c r="Q13" s="5">
        <v>4</v>
      </c>
      <c r="R13" s="5">
        <v>8</v>
      </c>
      <c r="S13" s="5">
        <v>4</v>
      </c>
      <c r="U13" s="2" t="s">
        <v>25</v>
      </c>
      <c r="V13" s="5">
        <v>9</v>
      </c>
      <c r="W13" s="5">
        <v>4</v>
      </c>
      <c r="X13" s="5">
        <v>3</v>
      </c>
      <c r="Y13" s="5">
        <v>4</v>
      </c>
      <c r="Z13" s="5">
        <v>1</v>
      </c>
      <c r="AE13" s="5" t="s">
        <v>26</v>
      </c>
      <c r="AF13" s="5">
        <v>3</v>
      </c>
    </row>
    <row r="14" spans="1:32" x14ac:dyDescent="0.25">
      <c r="A14" s="4">
        <v>1</v>
      </c>
    </row>
    <row r="15" spans="1:32" x14ac:dyDescent="0.25">
      <c r="A15" s="4">
        <v>1</v>
      </c>
      <c r="C15" s="2">
        <v>1</v>
      </c>
      <c r="D15" s="5">
        <f>D2/155</f>
        <v>0.25806451612903225</v>
      </c>
      <c r="E15" s="5">
        <f t="shared" ref="E15:J26" si="3">E2/155</f>
        <v>0.28387096774193549</v>
      </c>
      <c r="F15" s="5">
        <f t="shared" si="3"/>
        <v>0.29032258064516131</v>
      </c>
      <c r="G15" s="5">
        <f t="shared" si="3"/>
        <v>0.32258064516129031</v>
      </c>
      <c r="H15" s="5">
        <f t="shared" si="3"/>
        <v>0.30967741935483872</v>
      </c>
      <c r="I15" s="5">
        <f t="shared" si="3"/>
        <v>0.29032258064516131</v>
      </c>
      <c r="J15" s="5">
        <f t="shared" si="3"/>
        <v>0.28387096774193549</v>
      </c>
      <c r="M15" s="5">
        <f>M2/155</f>
        <v>0.29032258064516131</v>
      </c>
      <c r="N15" s="5">
        <f t="shared" ref="N15:S15" si="4">N2/155</f>
        <v>0.28387096774193549</v>
      </c>
      <c r="O15" s="5">
        <f t="shared" si="4"/>
        <v>0.3032258064516129</v>
      </c>
      <c r="P15" s="5">
        <f t="shared" si="4"/>
        <v>0.32903225806451614</v>
      </c>
      <c r="Q15" s="5">
        <f t="shared" si="4"/>
        <v>0.30967741935483872</v>
      </c>
      <c r="R15" s="5">
        <f t="shared" si="4"/>
        <v>0.3032258064516129</v>
      </c>
      <c r="S15" s="5">
        <f t="shared" si="4"/>
        <v>0.29032258064516131</v>
      </c>
      <c r="V15" s="5">
        <f t="shared" ref="V15:Z26" si="5">V2/155</f>
        <v>0.2709677419354839</v>
      </c>
      <c r="W15" s="5">
        <f t="shared" si="5"/>
        <v>0.3032258064516129</v>
      </c>
      <c r="X15" s="5">
        <f t="shared" si="5"/>
        <v>0.32903225806451614</v>
      </c>
      <c r="Y15" s="5">
        <f t="shared" si="5"/>
        <v>0.32903225806451614</v>
      </c>
      <c r="Z15" s="5">
        <f t="shared" si="5"/>
        <v>0.32258064516129031</v>
      </c>
      <c r="AF15" s="5">
        <f t="shared" ref="AF15:AF26" si="6">AF2/155</f>
        <v>0.32903225806451614</v>
      </c>
    </row>
    <row r="16" spans="1:32" x14ac:dyDescent="0.25">
      <c r="A16" s="4">
        <v>1</v>
      </c>
      <c r="C16" s="2">
        <v>2</v>
      </c>
      <c r="D16" s="5">
        <f>D3/155</f>
        <v>0.14193548387096774</v>
      </c>
      <c r="E16" s="5">
        <f>E3/155</f>
        <v>0.13548387096774195</v>
      </c>
      <c r="F16" s="5">
        <f t="shared" si="3"/>
        <v>0.17419354838709677</v>
      </c>
      <c r="G16" s="5">
        <f t="shared" si="3"/>
        <v>0.16129032258064516</v>
      </c>
      <c r="H16" s="5">
        <f t="shared" si="3"/>
        <v>0.15483870967741936</v>
      </c>
      <c r="I16" s="5">
        <f t="shared" si="3"/>
        <v>0.15483870967741936</v>
      </c>
      <c r="J16" s="5">
        <f t="shared" si="3"/>
        <v>0.14838709677419354</v>
      </c>
      <c r="M16" s="5">
        <f t="shared" ref="M16:S17" si="7">M3/155</f>
        <v>0.16129032258064516</v>
      </c>
      <c r="N16" s="5">
        <f t="shared" si="7"/>
        <v>0.16129032258064516</v>
      </c>
      <c r="O16" s="5">
        <f t="shared" si="7"/>
        <v>0.13548387096774195</v>
      </c>
      <c r="P16" s="5">
        <f t="shared" si="7"/>
        <v>0.16129032258064516</v>
      </c>
      <c r="Q16" s="5">
        <f t="shared" si="7"/>
        <v>0.15483870967741936</v>
      </c>
      <c r="R16" s="5">
        <f t="shared" si="7"/>
        <v>0.14838709677419354</v>
      </c>
      <c r="S16" s="5">
        <f t="shared" si="7"/>
        <v>0.15483870967741936</v>
      </c>
      <c r="V16" s="5">
        <f t="shared" si="5"/>
        <v>9.6774193548387094E-2</v>
      </c>
      <c r="W16" s="5">
        <f t="shared" si="5"/>
        <v>0.13548387096774195</v>
      </c>
      <c r="X16" s="5">
        <f t="shared" si="5"/>
        <v>0.16129032258064516</v>
      </c>
      <c r="Y16" s="5">
        <f t="shared" si="5"/>
        <v>0.17419354838709677</v>
      </c>
      <c r="Z16" s="5">
        <f t="shared" si="5"/>
        <v>0.18064516129032257</v>
      </c>
      <c r="AF16" s="5">
        <f t="shared" si="6"/>
        <v>0.16129032258064516</v>
      </c>
    </row>
    <row r="17" spans="1:32" x14ac:dyDescent="0.25">
      <c r="A17" s="4">
        <v>1</v>
      </c>
      <c r="C17" s="2">
        <v>3</v>
      </c>
      <c r="D17" s="5">
        <f>D4/155</f>
        <v>4.5161290322580643E-2</v>
      </c>
      <c r="E17" s="5">
        <f t="shared" ref="E17:E26" si="8">E4/155</f>
        <v>4.5161290322580643E-2</v>
      </c>
      <c r="F17" s="5">
        <f t="shared" si="3"/>
        <v>5.1612903225806452E-2</v>
      </c>
      <c r="G17" s="5">
        <f t="shared" si="3"/>
        <v>6.4516129032258063E-2</v>
      </c>
      <c r="H17" s="5">
        <f t="shared" si="3"/>
        <v>5.8064516129032261E-2</v>
      </c>
      <c r="I17" s="5">
        <f t="shared" si="3"/>
        <v>5.8064516129032261E-2</v>
      </c>
      <c r="J17" s="5">
        <f t="shared" si="3"/>
        <v>5.1612903225806452E-2</v>
      </c>
      <c r="M17" s="5">
        <f>M4/155</f>
        <v>5.1612903225806452E-2</v>
      </c>
      <c r="N17" s="5">
        <f t="shared" si="7"/>
        <v>4.5161290322580643E-2</v>
      </c>
      <c r="O17" s="5">
        <f t="shared" si="7"/>
        <v>4.5161290322580643E-2</v>
      </c>
      <c r="P17" s="5">
        <f t="shared" si="7"/>
        <v>7.7419354838709681E-2</v>
      </c>
      <c r="Q17" s="5">
        <f t="shared" si="7"/>
        <v>5.8064516129032261E-2</v>
      </c>
      <c r="R17" s="5">
        <f t="shared" si="7"/>
        <v>5.1612903225806452E-2</v>
      </c>
      <c r="S17" s="5">
        <f t="shared" si="7"/>
        <v>5.8064516129032261E-2</v>
      </c>
      <c r="V17" s="5">
        <f t="shared" si="5"/>
        <v>4.5161290322580643E-2</v>
      </c>
      <c r="W17" s="5">
        <f t="shared" si="5"/>
        <v>4.5161290322580643E-2</v>
      </c>
      <c r="X17" s="5">
        <f t="shared" si="5"/>
        <v>8.387096774193549E-2</v>
      </c>
      <c r="Y17" s="5">
        <f t="shared" si="5"/>
        <v>7.0967741935483872E-2</v>
      </c>
      <c r="Z17" s="5">
        <f t="shared" si="5"/>
        <v>7.7419354838709681E-2</v>
      </c>
      <c r="AF17" s="5">
        <f t="shared" si="6"/>
        <v>8.387096774193549E-2</v>
      </c>
    </row>
    <row r="18" spans="1:32" x14ac:dyDescent="0.25">
      <c r="A18" s="4">
        <v>1</v>
      </c>
      <c r="C18" s="2">
        <v>4</v>
      </c>
      <c r="D18" s="5">
        <f t="shared" ref="D18:D26" si="9">D5/155</f>
        <v>7.0967741935483872E-2</v>
      </c>
      <c r="E18" s="5">
        <f t="shared" si="8"/>
        <v>5.8064516129032261E-2</v>
      </c>
      <c r="F18" s="5">
        <f t="shared" si="3"/>
        <v>4.5161290322580643E-2</v>
      </c>
      <c r="G18" s="5">
        <f t="shared" si="3"/>
        <v>7.0967741935483872E-2</v>
      </c>
      <c r="H18" s="5">
        <f t="shared" si="3"/>
        <v>7.0967741935483872E-2</v>
      </c>
      <c r="I18" s="5">
        <f t="shared" si="3"/>
        <v>5.8064516129032261E-2</v>
      </c>
      <c r="J18" s="5">
        <f t="shared" si="3"/>
        <v>6.4516129032258063E-2</v>
      </c>
      <c r="M18" s="5">
        <f t="shared" ref="M18:S19" si="10">M5/155</f>
        <v>4.5161290322580643E-2</v>
      </c>
      <c r="N18" s="5">
        <f t="shared" si="10"/>
        <v>7.0967741935483872E-2</v>
      </c>
      <c r="O18" s="5">
        <f t="shared" si="10"/>
        <v>5.8064516129032261E-2</v>
      </c>
      <c r="P18" s="5">
        <f t="shared" si="10"/>
        <v>7.0967741935483872E-2</v>
      </c>
      <c r="Q18" s="5">
        <f t="shared" si="10"/>
        <v>7.0967741935483872E-2</v>
      </c>
      <c r="R18" s="5">
        <f t="shared" si="10"/>
        <v>9.6774193548387094E-2</v>
      </c>
      <c r="S18" s="5">
        <f t="shared" si="10"/>
        <v>5.8064516129032261E-2</v>
      </c>
      <c r="V18" s="5">
        <f t="shared" si="5"/>
        <v>7.0967741935483872E-2</v>
      </c>
      <c r="W18" s="5">
        <f t="shared" si="5"/>
        <v>5.8064516129032261E-2</v>
      </c>
      <c r="X18" s="5">
        <f t="shared" si="5"/>
        <v>7.0967741935483872E-2</v>
      </c>
      <c r="Y18" s="5">
        <f t="shared" si="5"/>
        <v>7.0967741935483872E-2</v>
      </c>
      <c r="Z18" s="5">
        <f t="shared" si="5"/>
        <v>9.6774193548387094E-2</v>
      </c>
      <c r="AF18" s="5">
        <f t="shared" si="6"/>
        <v>7.0967741935483872E-2</v>
      </c>
    </row>
    <row r="19" spans="1:32" x14ac:dyDescent="0.25">
      <c r="A19" s="4">
        <v>1</v>
      </c>
      <c r="C19" s="2">
        <v>5</v>
      </c>
      <c r="D19" s="5">
        <f t="shared" si="9"/>
        <v>6.4516129032258064E-3</v>
      </c>
      <c r="E19" s="5">
        <f t="shared" si="8"/>
        <v>1.2903225806451613E-2</v>
      </c>
      <c r="F19" s="5">
        <f t="shared" si="3"/>
        <v>5.1612903225806452E-2</v>
      </c>
      <c r="G19" s="5">
        <f t="shared" si="3"/>
        <v>2.5806451612903226E-2</v>
      </c>
      <c r="H19" s="5">
        <f t="shared" si="3"/>
        <v>5.1612903225806452E-2</v>
      </c>
      <c r="I19" s="5">
        <f t="shared" si="3"/>
        <v>7.0967741935483872E-2</v>
      </c>
      <c r="J19" s="5">
        <f t="shared" si="3"/>
        <v>4.5161290322580643E-2</v>
      </c>
      <c r="M19" s="5">
        <f>M6/155</f>
        <v>5.1612903225806452E-2</v>
      </c>
      <c r="N19" s="5">
        <f t="shared" si="10"/>
        <v>6.4516129032258064E-3</v>
      </c>
      <c r="O19" s="5">
        <f t="shared" si="10"/>
        <v>1.2903225806451613E-2</v>
      </c>
      <c r="P19" s="5">
        <f t="shared" si="10"/>
        <v>2.5806451612903226E-2</v>
      </c>
      <c r="Q19" s="5">
        <f t="shared" si="10"/>
        <v>5.1612903225806452E-2</v>
      </c>
      <c r="R19" s="5">
        <f t="shared" si="10"/>
        <v>4.5161290322580643E-2</v>
      </c>
      <c r="S19" s="5">
        <f t="shared" si="10"/>
        <v>7.0967741935483872E-2</v>
      </c>
      <c r="V19" s="5">
        <f t="shared" si="5"/>
        <v>6.4516129032258064E-3</v>
      </c>
      <c r="W19" s="5">
        <f t="shared" si="5"/>
        <v>1.2903225806451613E-2</v>
      </c>
      <c r="X19" s="5">
        <f t="shared" si="5"/>
        <v>2.5806451612903226E-2</v>
      </c>
      <c r="Y19" s="5">
        <f t="shared" si="5"/>
        <v>5.1612903225806452E-2</v>
      </c>
      <c r="Z19" s="5">
        <f t="shared" si="5"/>
        <v>4.5161290322580643E-2</v>
      </c>
      <c r="AF19" s="5">
        <f t="shared" si="6"/>
        <v>2.5806451612903226E-2</v>
      </c>
    </row>
    <row r="20" spans="1:32" x14ac:dyDescent="0.25">
      <c r="A20" s="4">
        <v>1</v>
      </c>
      <c r="C20" s="2" t="s">
        <v>19</v>
      </c>
      <c r="D20" s="5">
        <f t="shared" si="9"/>
        <v>7.0967741935483872E-2</v>
      </c>
      <c r="E20" s="5">
        <f t="shared" si="8"/>
        <v>7.0967741935483872E-2</v>
      </c>
      <c r="F20" s="5">
        <f t="shared" si="3"/>
        <v>7.7419354838709681E-2</v>
      </c>
      <c r="G20" s="5">
        <f t="shared" si="3"/>
        <v>9.0322580645161285E-2</v>
      </c>
      <c r="H20" s="5">
        <f t="shared" si="3"/>
        <v>8.387096774193549E-2</v>
      </c>
      <c r="I20" s="5">
        <f t="shared" si="3"/>
        <v>9.6774193548387094E-2</v>
      </c>
      <c r="J20" s="5">
        <f t="shared" si="3"/>
        <v>0.1032258064516129</v>
      </c>
      <c r="M20" s="5">
        <f t="shared" ref="M20:S27" si="11">M7/155</f>
        <v>8.387096774193549E-2</v>
      </c>
      <c r="N20" s="5">
        <f t="shared" si="11"/>
        <v>7.0967741935483872E-2</v>
      </c>
      <c r="O20" s="5">
        <f t="shared" si="11"/>
        <v>7.7419354838709681E-2</v>
      </c>
      <c r="P20" s="5">
        <f t="shared" si="11"/>
        <v>6.4516129032258063E-2</v>
      </c>
      <c r="Q20" s="5">
        <f t="shared" si="11"/>
        <v>8.387096774193549E-2</v>
      </c>
      <c r="R20" s="5">
        <f t="shared" si="11"/>
        <v>3.870967741935484E-2</v>
      </c>
      <c r="S20" s="5">
        <f t="shared" si="11"/>
        <v>9.0322580645161285E-2</v>
      </c>
      <c r="V20" s="5">
        <f t="shared" si="5"/>
        <v>7.0967741935483872E-2</v>
      </c>
      <c r="W20" s="5">
        <f t="shared" si="5"/>
        <v>7.7419354838709681E-2</v>
      </c>
      <c r="X20" s="5">
        <f t="shared" si="5"/>
        <v>6.4516129032258063E-2</v>
      </c>
      <c r="Y20" s="5">
        <f t="shared" si="5"/>
        <v>5.8064516129032261E-2</v>
      </c>
      <c r="Z20" s="5">
        <f t="shared" si="5"/>
        <v>3.870967741935484E-2</v>
      </c>
      <c r="AF20" s="5">
        <f t="shared" si="6"/>
        <v>6.4516129032258063E-2</v>
      </c>
    </row>
    <row r="21" spans="1:32" x14ac:dyDescent="0.25">
      <c r="A21" s="4">
        <v>1</v>
      </c>
      <c r="C21" s="2" t="s">
        <v>20</v>
      </c>
      <c r="D21" s="5">
        <f t="shared" si="9"/>
        <v>0.11612903225806452</v>
      </c>
      <c r="E21" s="5">
        <f t="shared" si="8"/>
        <v>0.12258064516129032</v>
      </c>
      <c r="F21" s="5">
        <f t="shared" si="3"/>
        <v>5.1612903225806452E-2</v>
      </c>
      <c r="G21" s="5">
        <f t="shared" si="3"/>
        <v>5.8064516129032261E-2</v>
      </c>
      <c r="H21" s="5">
        <f t="shared" si="3"/>
        <v>3.2258064516129031E-2</v>
      </c>
      <c r="I21" s="5">
        <f t="shared" si="3"/>
        <v>3.2258064516129031E-2</v>
      </c>
      <c r="J21" s="5">
        <f t="shared" si="3"/>
        <v>3.2258064516129031E-2</v>
      </c>
      <c r="M21" s="5">
        <f>M8/155</f>
        <v>6.4516129032258063E-2</v>
      </c>
      <c r="N21" s="5">
        <f t="shared" si="11"/>
        <v>0.11612903225806452</v>
      </c>
      <c r="O21" s="5">
        <f t="shared" si="11"/>
        <v>0.12258064516129032</v>
      </c>
      <c r="P21" s="5">
        <f t="shared" si="11"/>
        <v>5.1612903225806452E-2</v>
      </c>
      <c r="Q21" s="5">
        <f t="shared" si="11"/>
        <v>3.2258064516129031E-2</v>
      </c>
      <c r="R21" s="5">
        <f t="shared" si="11"/>
        <v>3.2258064516129031E-2</v>
      </c>
      <c r="S21" s="5">
        <f t="shared" si="11"/>
        <v>3.2258064516129031E-2</v>
      </c>
      <c r="V21" s="5">
        <f t="shared" si="5"/>
        <v>0.11612903225806452</v>
      </c>
      <c r="W21" s="5">
        <f t="shared" si="5"/>
        <v>0.12258064516129032</v>
      </c>
      <c r="X21" s="5">
        <f t="shared" si="5"/>
        <v>5.1612903225806452E-2</v>
      </c>
      <c r="Y21" s="5">
        <f t="shared" si="5"/>
        <v>3.2258064516129031E-2</v>
      </c>
      <c r="Z21" s="5">
        <f t="shared" si="5"/>
        <v>3.2258064516129031E-2</v>
      </c>
      <c r="AF21" s="5">
        <f t="shared" si="6"/>
        <v>5.1612903225806452E-2</v>
      </c>
    </row>
    <row r="22" spans="1:32" x14ac:dyDescent="0.25">
      <c r="A22" s="4">
        <v>1</v>
      </c>
      <c r="C22" s="2" t="s">
        <v>21</v>
      </c>
      <c r="D22" s="5">
        <f t="shared" si="9"/>
        <v>9.6774193548387094E-2</v>
      </c>
      <c r="E22" s="5">
        <f t="shared" si="8"/>
        <v>7.7419354838709681E-2</v>
      </c>
      <c r="F22" s="5">
        <f t="shared" si="3"/>
        <v>0.10967741935483871</v>
      </c>
      <c r="G22" s="5">
        <f t="shared" si="3"/>
        <v>5.1612903225806452E-2</v>
      </c>
      <c r="H22" s="5">
        <f t="shared" si="3"/>
        <v>7.7419354838709681E-2</v>
      </c>
      <c r="I22" s="5">
        <f t="shared" si="3"/>
        <v>1.935483870967742E-2</v>
      </c>
      <c r="J22" s="5">
        <f t="shared" si="3"/>
        <v>3.870967741935484E-2</v>
      </c>
      <c r="M22" s="5">
        <f t="shared" ref="M22:M27" si="12">M9/155</f>
        <v>0.10967741935483871</v>
      </c>
      <c r="N22" s="5">
        <f t="shared" si="11"/>
        <v>9.6774193548387094E-2</v>
      </c>
      <c r="O22" s="5">
        <f t="shared" si="11"/>
        <v>7.7419354838709681E-2</v>
      </c>
      <c r="P22" s="5">
        <f t="shared" si="11"/>
        <v>5.1612903225806452E-2</v>
      </c>
      <c r="Q22" s="5">
        <f t="shared" si="11"/>
        <v>7.7419354838709681E-2</v>
      </c>
      <c r="R22" s="5">
        <f t="shared" si="11"/>
        <v>5.1612903225806452E-2</v>
      </c>
      <c r="S22" s="5">
        <f t="shared" si="11"/>
        <v>3.870967741935484E-2</v>
      </c>
      <c r="V22" s="5">
        <f t="shared" si="5"/>
        <v>9.6774193548387094E-2</v>
      </c>
      <c r="W22" s="5">
        <f t="shared" si="5"/>
        <v>3.870967741935484E-2</v>
      </c>
      <c r="X22" s="5">
        <f t="shared" si="5"/>
        <v>5.1612903225806452E-2</v>
      </c>
      <c r="Y22" s="5">
        <f t="shared" si="5"/>
        <v>7.7419354838709681E-2</v>
      </c>
      <c r="Z22" s="5">
        <f t="shared" si="5"/>
        <v>5.1612903225806452E-2</v>
      </c>
      <c r="AF22" s="5">
        <f t="shared" si="6"/>
        <v>5.1612903225806452E-2</v>
      </c>
    </row>
    <row r="23" spans="1:32" x14ac:dyDescent="0.25">
      <c r="A23" s="4">
        <v>1</v>
      </c>
      <c r="C23" s="2" t="s">
        <v>22</v>
      </c>
      <c r="D23" s="5">
        <f t="shared" si="9"/>
        <v>5.1612903225806452E-2</v>
      </c>
      <c r="E23" s="5">
        <f t="shared" si="8"/>
        <v>7.0967741935483872E-2</v>
      </c>
      <c r="F23" s="5">
        <f t="shared" si="3"/>
        <v>1.935483870967742E-2</v>
      </c>
      <c r="G23" s="5">
        <f t="shared" si="3"/>
        <v>7.7419354838709681E-2</v>
      </c>
      <c r="H23" s="5">
        <f t="shared" si="3"/>
        <v>1.2903225806451613E-2</v>
      </c>
      <c r="I23" s="5">
        <f t="shared" si="3"/>
        <v>6.4516129032258063E-2</v>
      </c>
      <c r="J23" s="5">
        <f t="shared" si="3"/>
        <v>4.5161290322580643E-2</v>
      </c>
      <c r="M23" s="5">
        <f t="shared" si="12"/>
        <v>5.1612903225806452E-2</v>
      </c>
      <c r="N23" s="5">
        <f t="shared" si="11"/>
        <v>5.1612903225806452E-2</v>
      </c>
      <c r="O23" s="5">
        <f t="shared" si="11"/>
        <v>7.0967741935483872E-2</v>
      </c>
      <c r="P23" s="5">
        <f t="shared" si="11"/>
        <v>7.7419354838709681E-2</v>
      </c>
      <c r="Q23" s="5">
        <f t="shared" si="11"/>
        <v>1.2903225806451613E-2</v>
      </c>
      <c r="R23" s="5">
        <f t="shared" si="11"/>
        <v>5.1612903225806452E-2</v>
      </c>
      <c r="S23" s="5">
        <f t="shared" si="11"/>
        <v>6.4516129032258063E-2</v>
      </c>
      <c r="V23" s="5">
        <f t="shared" si="5"/>
        <v>5.1612903225806452E-2</v>
      </c>
      <c r="W23" s="5">
        <f t="shared" si="5"/>
        <v>7.0967741935483872E-2</v>
      </c>
      <c r="X23" s="5">
        <f t="shared" si="5"/>
        <v>4.5161290322580643E-2</v>
      </c>
      <c r="Y23" s="5">
        <f t="shared" si="5"/>
        <v>1.2903225806451613E-2</v>
      </c>
      <c r="Z23" s="5">
        <f t="shared" si="5"/>
        <v>5.1612903225806452E-2</v>
      </c>
      <c r="AF23" s="5">
        <f t="shared" si="6"/>
        <v>4.5161290322580643E-2</v>
      </c>
    </row>
    <row r="24" spans="1:32" x14ac:dyDescent="0.25">
      <c r="A24" s="4">
        <v>1</v>
      </c>
      <c r="C24" s="2" t="s">
        <v>23</v>
      </c>
      <c r="D24" s="5">
        <f t="shared" si="9"/>
        <v>4.5161290322580643E-2</v>
      </c>
      <c r="E24" s="5">
        <f t="shared" si="8"/>
        <v>3.2258064516129031E-2</v>
      </c>
      <c r="F24" s="5">
        <f t="shared" si="3"/>
        <v>6.4516129032258063E-2</v>
      </c>
      <c r="G24" s="5">
        <f t="shared" si="3"/>
        <v>4.5161290322580643E-2</v>
      </c>
      <c r="H24" s="5">
        <f t="shared" si="3"/>
        <v>3.2258064516129031E-2</v>
      </c>
      <c r="I24" s="5">
        <f t="shared" si="3"/>
        <v>3.870967741935484E-2</v>
      </c>
      <c r="J24" s="5">
        <f t="shared" si="3"/>
        <v>5.8064516129032261E-2</v>
      </c>
      <c r="M24" s="5">
        <f t="shared" si="12"/>
        <v>3.2258064516129031E-2</v>
      </c>
      <c r="N24" s="5">
        <f t="shared" si="11"/>
        <v>4.5161290322580643E-2</v>
      </c>
      <c r="O24" s="5">
        <f t="shared" si="11"/>
        <v>3.2258064516129031E-2</v>
      </c>
      <c r="P24" s="5">
        <f t="shared" si="11"/>
        <v>4.5161290322580643E-2</v>
      </c>
      <c r="Q24" s="5">
        <f t="shared" si="11"/>
        <v>3.2258064516129031E-2</v>
      </c>
      <c r="R24" s="5">
        <f t="shared" si="11"/>
        <v>5.8064516129032261E-2</v>
      </c>
      <c r="S24" s="5">
        <f t="shared" si="11"/>
        <v>3.870967741935484E-2</v>
      </c>
      <c r="V24" s="5">
        <f t="shared" si="5"/>
        <v>4.5161290322580643E-2</v>
      </c>
      <c r="W24" s="5">
        <f t="shared" si="5"/>
        <v>3.2258064516129031E-2</v>
      </c>
      <c r="X24" s="5">
        <f t="shared" si="5"/>
        <v>3.870967741935484E-2</v>
      </c>
      <c r="Y24" s="5">
        <f t="shared" si="5"/>
        <v>3.2258064516129031E-2</v>
      </c>
      <c r="Z24" s="5">
        <f t="shared" si="5"/>
        <v>5.8064516129032261E-2</v>
      </c>
      <c r="AF24" s="5">
        <f t="shared" si="6"/>
        <v>3.870967741935484E-2</v>
      </c>
    </row>
    <row r="25" spans="1:32" x14ac:dyDescent="0.25">
      <c r="A25" s="4">
        <v>1</v>
      </c>
      <c r="C25" s="2" t="s">
        <v>24</v>
      </c>
      <c r="D25" s="5">
        <f t="shared" si="9"/>
        <v>6.4516129032258063E-2</v>
      </c>
      <c r="E25" s="5">
        <f t="shared" si="8"/>
        <v>6.4516129032258063E-2</v>
      </c>
      <c r="F25" s="5">
        <f t="shared" si="3"/>
        <v>5.8064516129032261E-2</v>
      </c>
      <c r="G25" s="5">
        <f t="shared" si="3"/>
        <v>1.935483870967742E-2</v>
      </c>
      <c r="H25" s="5">
        <f t="shared" si="3"/>
        <v>9.0322580645161285E-2</v>
      </c>
      <c r="I25" s="5">
        <f t="shared" si="3"/>
        <v>9.0322580645161285E-2</v>
      </c>
      <c r="J25" s="5">
        <f t="shared" si="3"/>
        <v>7.7419354838709681E-2</v>
      </c>
      <c r="M25" s="5">
        <f t="shared" si="12"/>
        <v>5.1612903225806452E-2</v>
      </c>
      <c r="N25" s="5">
        <f t="shared" si="11"/>
        <v>1.935483870967742E-2</v>
      </c>
      <c r="O25" s="5">
        <f t="shared" si="11"/>
        <v>3.870967741935484E-2</v>
      </c>
      <c r="P25" s="5">
        <f t="shared" si="11"/>
        <v>3.2258064516129031E-2</v>
      </c>
      <c r="Q25" s="5">
        <f t="shared" si="11"/>
        <v>9.0322580645161285E-2</v>
      </c>
      <c r="R25" s="5">
        <f t="shared" si="11"/>
        <v>7.0967741935483872E-2</v>
      </c>
      <c r="S25" s="5">
        <f t="shared" si="11"/>
        <v>7.7419354838709681E-2</v>
      </c>
      <c r="V25" s="5">
        <f t="shared" si="5"/>
        <v>7.0967741935483872E-2</v>
      </c>
      <c r="W25" s="5">
        <f t="shared" si="5"/>
        <v>7.7419354838709681E-2</v>
      </c>
      <c r="X25" s="5">
        <f t="shared" si="5"/>
        <v>5.8064516129032261E-2</v>
      </c>
      <c r="Y25" s="5">
        <f t="shared" si="5"/>
        <v>6.4516129032258063E-2</v>
      </c>
      <c r="Z25" s="5">
        <f t="shared" si="5"/>
        <v>3.870967741935484E-2</v>
      </c>
      <c r="AF25" s="5">
        <f t="shared" si="6"/>
        <v>5.8064516129032261E-2</v>
      </c>
    </row>
    <row r="26" spans="1:32" x14ac:dyDescent="0.25">
      <c r="A26" s="4">
        <v>1</v>
      </c>
      <c r="C26" s="2" t="s">
        <v>25</v>
      </c>
      <c r="D26" s="5">
        <f t="shared" si="9"/>
        <v>3.2258064516129031E-2</v>
      </c>
      <c r="E26" s="5">
        <f t="shared" si="8"/>
        <v>2.5806451612903226E-2</v>
      </c>
      <c r="F26" s="5">
        <f t="shared" si="3"/>
        <v>6.4516129032258064E-3</v>
      </c>
      <c r="G26" s="5">
        <f t="shared" si="3"/>
        <v>1.2903225806451613E-2</v>
      </c>
      <c r="H26" s="5">
        <f t="shared" si="3"/>
        <v>2.5806451612903226E-2</v>
      </c>
      <c r="I26" s="5">
        <f t="shared" si="3"/>
        <v>2.5806451612903226E-2</v>
      </c>
      <c r="J26" s="5">
        <f t="shared" si="3"/>
        <v>5.1612903225806452E-2</v>
      </c>
      <c r="M26" s="5">
        <f t="shared" si="12"/>
        <v>6.4516129032258064E-3</v>
      </c>
      <c r="N26" s="5">
        <f t="shared" si="11"/>
        <v>3.2258064516129031E-2</v>
      </c>
      <c r="O26" s="5">
        <f t="shared" si="11"/>
        <v>2.5806451612903226E-2</v>
      </c>
      <c r="P26" s="5">
        <f t="shared" si="11"/>
        <v>1.2903225806451613E-2</v>
      </c>
      <c r="Q26" s="5">
        <f t="shared" si="11"/>
        <v>2.5806451612903226E-2</v>
      </c>
      <c r="R26" s="5">
        <f t="shared" si="11"/>
        <v>5.1612903225806452E-2</v>
      </c>
      <c r="S26" s="5">
        <f t="shared" si="11"/>
        <v>2.5806451612903226E-2</v>
      </c>
      <c r="V26" s="5">
        <f t="shared" si="5"/>
        <v>5.8064516129032261E-2</v>
      </c>
      <c r="W26" s="5">
        <f t="shared" si="5"/>
        <v>2.5806451612903226E-2</v>
      </c>
      <c r="X26" s="5">
        <f t="shared" si="5"/>
        <v>1.935483870967742E-2</v>
      </c>
      <c r="Y26" s="5">
        <f t="shared" si="5"/>
        <v>2.5806451612903226E-2</v>
      </c>
      <c r="Z26" s="5">
        <f t="shared" si="5"/>
        <v>6.4516129032258064E-3</v>
      </c>
      <c r="AF26" s="5">
        <f t="shared" si="6"/>
        <v>1.935483870967742E-2</v>
      </c>
    </row>
    <row r="27" spans="1:32" x14ac:dyDescent="0.25">
      <c r="A27" s="4">
        <v>1</v>
      </c>
      <c r="M27" s="5">
        <f t="shared" si="12"/>
        <v>0</v>
      </c>
      <c r="N27" s="5">
        <f t="shared" si="11"/>
        <v>0</v>
      </c>
      <c r="O27" s="5">
        <f t="shared" si="11"/>
        <v>0</v>
      </c>
      <c r="P27" s="5">
        <f t="shared" si="11"/>
        <v>0</v>
      </c>
      <c r="Q27" s="5">
        <f t="shared" si="11"/>
        <v>0</v>
      </c>
      <c r="R27" s="5">
        <f t="shared" si="11"/>
        <v>0</v>
      </c>
      <c r="S27" s="5">
        <f t="shared" si="11"/>
        <v>0</v>
      </c>
    </row>
    <row r="28" spans="1:32" x14ac:dyDescent="0.25">
      <c r="A28" s="4">
        <v>1</v>
      </c>
      <c r="D28" s="5">
        <v>0.25806451612903197</v>
      </c>
      <c r="E28" s="5">
        <v>0.28387096774193499</v>
      </c>
      <c r="F28" s="5">
        <v>0.29032258064516098</v>
      </c>
      <c r="G28" s="5">
        <v>0.33548387096774201</v>
      </c>
      <c r="H28" s="5">
        <v>0.309677419354839</v>
      </c>
      <c r="I28" s="5">
        <v>0.29032258064516098</v>
      </c>
      <c r="J28" s="5">
        <v>0.28387096774193499</v>
      </c>
      <c r="M28" s="5">
        <v>0.29032258064516098</v>
      </c>
      <c r="N28" s="5">
        <v>0.28387096774193499</v>
      </c>
      <c r="O28" s="5">
        <v>0.30322580645161301</v>
      </c>
      <c r="P28" s="5">
        <v>0.32903225806451603</v>
      </c>
      <c r="Q28" s="5">
        <v>0.309677419354839</v>
      </c>
      <c r="R28" s="5">
        <v>0.30322580645161301</v>
      </c>
      <c r="S28" s="5">
        <v>0.29032258064516098</v>
      </c>
      <c r="V28" s="5">
        <v>0.31105990783410198</v>
      </c>
      <c r="W28" s="5">
        <v>0.31267281105990802</v>
      </c>
      <c r="X28" s="5">
        <v>0.314285714285715</v>
      </c>
      <c r="Y28" s="5">
        <v>0.31589861751152098</v>
      </c>
      <c r="Z28" s="5">
        <v>0.32258064516128998</v>
      </c>
      <c r="AF28" s="5">
        <v>0.32903225806451603</v>
      </c>
    </row>
    <row r="29" spans="1:32" x14ac:dyDescent="0.25">
      <c r="A29" s="4">
        <v>1</v>
      </c>
      <c r="D29" s="5">
        <f>D16+D15</f>
        <v>0.4</v>
      </c>
      <c r="E29" s="5">
        <f t="shared" ref="E29:J29" si="13">E16+E15</f>
        <v>0.41935483870967744</v>
      </c>
      <c r="F29" s="5">
        <f t="shared" si="13"/>
        <v>0.46451612903225808</v>
      </c>
      <c r="G29" s="5">
        <f t="shared" si="13"/>
        <v>0.4838709677419355</v>
      </c>
      <c r="H29" s="5">
        <f t="shared" si="13"/>
        <v>0.46451612903225808</v>
      </c>
      <c r="I29" s="5">
        <f t="shared" si="13"/>
        <v>0.44516129032258067</v>
      </c>
      <c r="J29" s="5">
        <f t="shared" si="13"/>
        <v>0.43225806451612903</v>
      </c>
      <c r="M29" s="5">
        <f t="shared" ref="M29:S29" si="14">M16+M15</f>
        <v>0.45161290322580649</v>
      </c>
      <c r="N29" s="5">
        <f t="shared" si="14"/>
        <v>0.44516129032258067</v>
      </c>
      <c r="O29" s="5">
        <f t="shared" si="14"/>
        <v>0.43870967741935485</v>
      </c>
      <c r="P29" s="5">
        <f t="shared" si="14"/>
        <v>0.49032258064516132</v>
      </c>
      <c r="Q29" s="5">
        <f t="shared" si="14"/>
        <v>0.46451612903225808</v>
      </c>
      <c r="R29" s="5">
        <f t="shared" si="14"/>
        <v>0.45161290322580644</v>
      </c>
      <c r="S29" s="5">
        <f t="shared" si="14"/>
        <v>0.44516129032258067</v>
      </c>
      <c r="V29" s="5">
        <f t="shared" ref="V29:Z29" si="15">V16+V15</f>
        <v>0.36774193548387102</v>
      </c>
      <c r="W29" s="5">
        <f t="shared" si="15"/>
        <v>0.43870967741935485</v>
      </c>
      <c r="X29" s="5">
        <f t="shared" si="15"/>
        <v>0.49032258064516132</v>
      </c>
      <c r="Y29" s="5">
        <f t="shared" si="15"/>
        <v>0.50322580645161286</v>
      </c>
      <c r="Z29" s="5">
        <f t="shared" si="15"/>
        <v>0.50322580645161286</v>
      </c>
      <c r="AF29" s="5">
        <f>AF16+AF15</f>
        <v>0.49032258064516132</v>
      </c>
    </row>
    <row r="30" spans="1:32" x14ac:dyDescent="0.25">
      <c r="A30" s="4">
        <v>1</v>
      </c>
      <c r="D30" s="5">
        <f>D29+D17</f>
        <v>0.44516129032258067</v>
      </c>
      <c r="E30" s="5">
        <f t="shared" ref="E30:J39" si="16">E29+E17</f>
        <v>0.46451612903225808</v>
      </c>
      <c r="F30" s="5">
        <f t="shared" si="16"/>
        <v>0.5161290322580645</v>
      </c>
      <c r="G30" s="5">
        <f t="shared" si="16"/>
        <v>0.54838709677419351</v>
      </c>
      <c r="H30" s="5">
        <f t="shared" si="16"/>
        <v>0.52258064516129032</v>
      </c>
      <c r="I30" s="5">
        <f t="shared" si="16"/>
        <v>0.50322580645161297</v>
      </c>
      <c r="J30" s="5">
        <f t="shared" si="16"/>
        <v>0.4838709677419355</v>
      </c>
      <c r="M30" s="5">
        <f>M29+M17</f>
        <v>0.50322580645161297</v>
      </c>
      <c r="N30" s="5">
        <f t="shared" ref="N30:S30" si="17">N29+N17</f>
        <v>0.49032258064516132</v>
      </c>
      <c r="O30" s="5">
        <f t="shared" si="17"/>
        <v>0.4838709677419355</v>
      </c>
      <c r="P30" s="5">
        <f t="shared" si="17"/>
        <v>0.56774193548387097</v>
      </c>
      <c r="Q30" s="5">
        <f t="shared" si="17"/>
        <v>0.52258064516129032</v>
      </c>
      <c r="R30" s="5">
        <f t="shared" si="17"/>
        <v>0.50322580645161286</v>
      </c>
      <c r="S30" s="5">
        <f t="shared" si="17"/>
        <v>0.50322580645161297</v>
      </c>
      <c r="V30" s="5">
        <f t="shared" ref="V30:Z38" si="18">V29+V17</f>
        <v>0.41290322580645167</v>
      </c>
      <c r="W30" s="5">
        <f t="shared" si="18"/>
        <v>0.4838709677419355</v>
      </c>
      <c r="X30" s="5">
        <f t="shared" si="18"/>
        <v>0.5741935483870968</v>
      </c>
      <c r="Y30" s="5">
        <f t="shared" si="18"/>
        <v>0.57419354838709669</v>
      </c>
      <c r="Z30" s="5">
        <f t="shared" si="18"/>
        <v>0.58064516129032251</v>
      </c>
      <c r="AF30" s="5">
        <f t="shared" ref="AF30:AF38" si="19">AF29+AF17</f>
        <v>0.5741935483870968</v>
      </c>
    </row>
    <row r="31" spans="1:32" x14ac:dyDescent="0.25">
      <c r="A31" s="4">
        <v>1</v>
      </c>
      <c r="D31" s="5">
        <f>D30+D18</f>
        <v>0.5161290322580645</v>
      </c>
      <c r="E31" s="5">
        <f t="shared" si="16"/>
        <v>0.52258064516129032</v>
      </c>
      <c r="F31" s="5">
        <f t="shared" si="16"/>
        <v>0.56129032258064515</v>
      </c>
      <c r="G31" s="5">
        <f t="shared" si="16"/>
        <v>0.61935483870967734</v>
      </c>
      <c r="H31" s="5">
        <f t="shared" si="16"/>
        <v>0.59354838709677415</v>
      </c>
      <c r="I31" s="5">
        <f t="shared" si="16"/>
        <v>0.56129032258064526</v>
      </c>
      <c r="J31" s="5">
        <f t="shared" si="16"/>
        <v>0.54838709677419351</v>
      </c>
      <c r="M31" s="5">
        <f t="shared" ref="M31:S32" si="20">M30+M18</f>
        <v>0.54838709677419362</v>
      </c>
      <c r="N31" s="5">
        <f t="shared" si="20"/>
        <v>0.56129032258064515</v>
      </c>
      <c r="O31" s="5">
        <f t="shared" si="20"/>
        <v>0.54193548387096779</v>
      </c>
      <c r="P31" s="5">
        <f t="shared" si="20"/>
        <v>0.6387096774193548</v>
      </c>
      <c r="Q31" s="5">
        <f t="shared" si="20"/>
        <v>0.59354838709677415</v>
      </c>
      <c r="R31" s="5">
        <f t="shared" si="20"/>
        <v>0.6</v>
      </c>
      <c r="S31" s="5">
        <f t="shared" si="20"/>
        <v>0.56129032258064526</v>
      </c>
      <c r="V31" s="5">
        <f t="shared" si="18"/>
        <v>0.48387096774193555</v>
      </c>
      <c r="W31" s="5">
        <f t="shared" si="18"/>
        <v>0.54193548387096779</v>
      </c>
      <c r="X31" s="5">
        <f t="shared" si="18"/>
        <v>0.64516129032258063</v>
      </c>
      <c r="Y31" s="5">
        <f t="shared" si="18"/>
        <v>0.64516129032258052</v>
      </c>
      <c r="Z31" s="5">
        <f t="shared" si="18"/>
        <v>0.67741935483870963</v>
      </c>
      <c r="AF31" s="5">
        <f t="shared" si="19"/>
        <v>0.64516129032258063</v>
      </c>
    </row>
    <row r="32" spans="1:32" x14ac:dyDescent="0.25">
      <c r="A32" s="4">
        <v>1</v>
      </c>
      <c r="D32" s="5">
        <f t="shared" ref="D32:D39" si="21">D31+D19</f>
        <v>0.52258064516129032</v>
      </c>
      <c r="E32" s="5">
        <f t="shared" si="16"/>
        <v>0.53548387096774197</v>
      </c>
      <c r="F32" s="5">
        <f t="shared" si="16"/>
        <v>0.61290322580645162</v>
      </c>
      <c r="G32" s="5">
        <f t="shared" si="16"/>
        <v>0.64516129032258052</v>
      </c>
      <c r="H32" s="5">
        <f t="shared" si="16"/>
        <v>0.64516129032258063</v>
      </c>
      <c r="I32" s="5">
        <f t="shared" si="16"/>
        <v>0.63225806451612909</v>
      </c>
      <c r="J32" s="5">
        <f t="shared" si="16"/>
        <v>0.59354838709677415</v>
      </c>
      <c r="M32" s="5">
        <f>M31+M19</f>
        <v>0.60000000000000009</v>
      </c>
      <c r="N32" s="5">
        <f t="shared" si="20"/>
        <v>0.56774193548387097</v>
      </c>
      <c r="O32" s="5">
        <f t="shared" si="20"/>
        <v>0.55483870967741944</v>
      </c>
      <c r="P32" s="5">
        <f t="shared" si="20"/>
        <v>0.66451612903225799</v>
      </c>
      <c r="Q32" s="5">
        <f t="shared" si="20"/>
        <v>0.64516129032258063</v>
      </c>
      <c r="R32" s="5">
        <f t="shared" si="20"/>
        <v>0.64516129032258063</v>
      </c>
      <c r="S32" s="5">
        <f t="shared" si="20"/>
        <v>0.63225806451612909</v>
      </c>
      <c r="V32" s="5">
        <f t="shared" si="18"/>
        <v>0.49032258064516138</v>
      </c>
      <c r="W32" s="5">
        <f t="shared" si="18"/>
        <v>0.55483870967741944</v>
      </c>
      <c r="X32" s="5">
        <f t="shared" si="18"/>
        <v>0.67096774193548381</v>
      </c>
      <c r="Y32" s="5">
        <f t="shared" si="18"/>
        <v>0.69677419354838699</v>
      </c>
      <c r="Z32" s="5">
        <f t="shared" si="18"/>
        <v>0.72258064516129028</v>
      </c>
      <c r="AF32" s="5">
        <f t="shared" si="19"/>
        <v>0.67096774193548381</v>
      </c>
    </row>
    <row r="33" spans="1:33" x14ac:dyDescent="0.25">
      <c r="A33" s="4">
        <v>1</v>
      </c>
      <c r="D33" s="5">
        <f t="shared" si="21"/>
        <v>0.59354838709677415</v>
      </c>
      <c r="E33" s="5">
        <f t="shared" si="16"/>
        <v>0.6064516129032258</v>
      </c>
      <c r="F33" s="5">
        <f t="shared" si="16"/>
        <v>0.69032258064516128</v>
      </c>
      <c r="G33" s="5">
        <f t="shared" si="16"/>
        <v>0.73548387096774182</v>
      </c>
      <c r="H33" s="5">
        <f t="shared" si="16"/>
        <v>0.7290322580645161</v>
      </c>
      <c r="I33" s="5">
        <f t="shared" si="16"/>
        <v>0.72903225806451621</v>
      </c>
      <c r="J33" s="5">
        <f t="shared" si="16"/>
        <v>0.6967741935483871</v>
      </c>
      <c r="M33" s="5">
        <f t="shared" ref="M33:S38" si="22">M32+M20</f>
        <v>0.68387096774193556</v>
      </c>
      <c r="N33" s="5">
        <f t="shared" si="22"/>
        <v>0.6387096774193548</v>
      </c>
      <c r="O33" s="5">
        <f t="shared" si="22"/>
        <v>0.63225806451612909</v>
      </c>
      <c r="P33" s="5">
        <f t="shared" si="22"/>
        <v>0.7290322580645161</v>
      </c>
      <c r="Q33" s="5">
        <f t="shared" si="22"/>
        <v>0.7290322580645161</v>
      </c>
      <c r="R33" s="5">
        <f t="shared" si="22"/>
        <v>0.68387096774193545</v>
      </c>
      <c r="S33" s="5">
        <f t="shared" si="22"/>
        <v>0.72258064516129039</v>
      </c>
      <c r="V33" s="5">
        <f t="shared" si="18"/>
        <v>0.56129032258064526</v>
      </c>
      <c r="W33" s="5">
        <f t="shared" si="18"/>
        <v>0.63225806451612909</v>
      </c>
      <c r="X33" s="5">
        <f t="shared" si="18"/>
        <v>0.73548387096774182</v>
      </c>
      <c r="Y33" s="5">
        <f t="shared" si="18"/>
        <v>0.75483870967741928</v>
      </c>
      <c r="Z33" s="5">
        <f t="shared" si="18"/>
        <v>0.76129032258064511</v>
      </c>
      <c r="AF33" s="5">
        <f t="shared" si="19"/>
        <v>0.73548387096774182</v>
      </c>
    </row>
    <row r="34" spans="1:33" x14ac:dyDescent="0.25">
      <c r="A34" s="4">
        <v>1</v>
      </c>
      <c r="D34" s="5">
        <f t="shared" si="21"/>
        <v>0.70967741935483863</v>
      </c>
      <c r="E34" s="5">
        <f t="shared" si="16"/>
        <v>0.7290322580645161</v>
      </c>
      <c r="F34" s="5">
        <f t="shared" si="16"/>
        <v>0.74193548387096775</v>
      </c>
      <c r="G34" s="5">
        <f t="shared" si="16"/>
        <v>0.79354838709677411</v>
      </c>
      <c r="H34" s="5">
        <f t="shared" si="16"/>
        <v>0.76129032258064511</v>
      </c>
      <c r="I34" s="5">
        <f t="shared" si="16"/>
        <v>0.76129032258064522</v>
      </c>
      <c r="J34" s="5">
        <f t="shared" si="16"/>
        <v>0.7290322580645161</v>
      </c>
      <c r="M34" s="5">
        <f t="shared" si="22"/>
        <v>0.74838709677419368</v>
      </c>
      <c r="N34" s="5">
        <f t="shared" si="22"/>
        <v>0.75483870967741928</v>
      </c>
      <c r="O34" s="5">
        <f t="shared" si="22"/>
        <v>0.75483870967741939</v>
      </c>
      <c r="P34" s="5">
        <f t="shared" si="22"/>
        <v>0.78064516129032258</v>
      </c>
      <c r="Q34" s="5">
        <f t="shared" si="22"/>
        <v>0.76129032258064511</v>
      </c>
      <c r="R34" s="5">
        <f t="shared" si="22"/>
        <v>0.71612903225806446</v>
      </c>
      <c r="S34" s="5">
        <f t="shared" si="22"/>
        <v>0.75483870967741939</v>
      </c>
      <c r="V34" s="5">
        <f t="shared" si="18"/>
        <v>0.67741935483870974</v>
      </c>
      <c r="W34" s="5">
        <f t="shared" si="18"/>
        <v>0.75483870967741939</v>
      </c>
      <c r="X34" s="5">
        <f t="shared" si="18"/>
        <v>0.78709677419354829</v>
      </c>
      <c r="Y34" s="5">
        <f t="shared" si="18"/>
        <v>0.78709677419354829</v>
      </c>
      <c r="Z34" s="5">
        <f t="shared" si="18"/>
        <v>0.79354838709677411</v>
      </c>
      <c r="AF34" s="5">
        <f t="shared" si="19"/>
        <v>0.78709677419354829</v>
      </c>
    </row>
    <row r="35" spans="1:33" x14ac:dyDescent="0.25">
      <c r="A35" s="4">
        <v>1</v>
      </c>
      <c r="D35" s="5">
        <f t="shared" si="21"/>
        <v>0.80645161290322576</v>
      </c>
      <c r="E35" s="5">
        <f t="shared" si="16"/>
        <v>0.80645161290322576</v>
      </c>
      <c r="F35" s="5">
        <f t="shared" si="16"/>
        <v>0.85161290322580641</v>
      </c>
      <c r="G35" s="5">
        <f t="shared" si="16"/>
        <v>0.84516129032258058</v>
      </c>
      <c r="H35" s="5">
        <f t="shared" si="16"/>
        <v>0.83870967741935476</v>
      </c>
      <c r="I35" s="5">
        <f t="shared" si="16"/>
        <v>0.78064516129032269</v>
      </c>
      <c r="J35" s="5">
        <f t="shared" si="16"/>
        <v>0.76774193548387093</v>
      </c>
      <c r="M35" s="5">
        <f t="shared" si="22"/>
        <v>0.85806451612903234</v>
      </c>
      <c r="N35" s="5">
        <f t="shared" si="22"/>
        <v>0.85161290322580641</v>
      </c>
      <c r="O35" s="5">
        <f t="shared" si="22"/>
        <v>0.83225806451612905</v>
      </c>
      <c r="P35" s="5">
        <f t="shared" si="22"/>
        <v>0.83225806451612905</v>
      </c>
      <c r="Q35" s="5">
        <f t="shared" si="22"/>
        <v>0.83870967741935476</v>
      </c>
      <c r="R35" s="5">
        <f t="shared" si="22"/>
        <v>0.76774193548387093</v>
      </c>
      <c r="S35" s="5">
        <f t="shared" si="22"/>
        <v>0.79354838709677422</v>
      </c>
      <c r="V35" s="5">
        <f t="shared" si="18"/>
        <v>0.77419354838709686</v>
      </c>
      <c r="W35" s="5">
        <f t="shared" si="18"/>
        <v>0.79354838709677422</v>
      </c>
      <c r="X35" s="5">
        <f t="shared" si="18"/>
        <v>0.83870967741935476</v>
      </c>
      <c r="Y35" s="5">
        <f t="shared" si="18"/>
        <v>0.86451612903225794</v>
      </c>
      <c r="Z35" s="5">
        <f t="shared" si="18"/>
        <v>0.84516129032258058</v>
      </c>
      <c r="AF35" s="5">
        <f t="shared" si="19"/>
        <v>0.83870967741935476</v>
      </c>
    </row>
    <row r="36" spans="1:33" x14ac:dyDescent="0.25">
      <c r="A36" s="4">
        <v>1</v>
      </c>
      <c r="D36" s="5">
        <f t="shared" si="21"/>
        <v>0.85806451612903223</v>
      </c>
      <c r="E36" s="5">
        <f t="shared" si="16"/>
        <v>0.87741935483870959</v>
      </c>
      <c r="F36" s="5">
        <f t="shared" si="16"/>
        <v>0.87096774193548387</v>
      </c>
      <c r="G36" s="5">
        <f t="shared" si="16"/>
        <v>0.92258064516129024</v>
      </c>
      <c r="H36" s="5">
        <f t="shared" si="16"/>
        <v>0.85161290322580641</v>
      </c>
      <c r="I36" s="5">
        <f t="shared" si="16"/>
        <v>0.84516129032258069</v>
      </c>
      <c r="J36" s="5">
        <f t="shared" si="16"/>
        <v>0.81290322580645158</v>
      </c>
      <c r="M36" s="5">
        <f t="shared" si="22"/>
        <v>0.90967741935483881</v>
      </c>
      <c r="N36" s="5">
        <f t="shared" si="22"/>
        <v>0.90322580645161288</v>
      </c>
      <c r="O36" s="5">
        <f t="shared" si="22"/>
        <v>0.90322580645161288</v>
      </c>
      <c r="P36" s="5">
        <f t="shared" si="22"/>
        <v>0.9096774193548387</v>
      </c>
      <c r="Q36" s="5">
        <f t="shared" si="22"/>
        <v>0.85161290322580641</v>
      </c>
      <c r="R36" s="5">
        <f t="shared" si="22"/>
        <v>0.8193548387096774</v>
      </c>
      <c r="S36" s="5">
        <f t="shared" si="22"/>
        <v>0.85806451612903234</v>
      </c>
      <c r="V36" s="5">
        <f t="shared" si="18"/>
        <v>0.82580645161290334</v>
      </c>
      <c r="W36" s="5">
        <f t="shared" si="18"/>
        <v>0.86451612903225805</v>
      </c>
      <c r="X36" s="5">
        <f t="shared" si="18"/>
        <v>0.88387096774193541</v>
      </c>
      <c r="Y36" s="5">
        <f t="shared" si="18"/>
        <v>0.87741935483870959</v>
      </c>
      <c r="Z36" s="5">
        <f t="shared" si="18"/>
        <v>0.89677419354838706</v>
      </c>
      <c r="AF36" s="5">
        <f t="shared" si="19"/>
        <v>0.88387096774193541</v>
      </c>
    </row>
    <row r="37" spans="1:33" x14ac:dyDescent="0.25">
      <c r="A37" s="4">
        <v>1</v>
      </c>
      <c r="D37" s="5">
        <f t="shared" si="21"/>
        <v>0.90322580645161288</v>
      </c>
      <c r="E37" s="5">
        <f t="shared" si="16"/>
        <v>0.90967741935483859</v>
      </c>
      <c r="F37" s="5">
        <f t="shared" si="16"/>
        <v>0.93548387096774199</v>
      </c>
      <c r="G37" s="5">
        <f t="shared" si="16"/>
        <v>0.96774193548387089</v>
      </c>
      <c r="H37" s="5">
        <f t="shared" si="16"/>
        <v>0.88387096774193541</v>
      </c>
      <c r="I37" s="5">
        <f t="shared" si="16"/>
        <v>0.88387096774193552</v>
      </c>
      <c r="J37" s="5">
        <f t="shared" si="16"/>
        <v>0.87096774193548387</v>
      </c>
      <c r="M37" s="5">
        <f t="shared" si="22"/>
        <v>0.94193548387096782</v>
      </c>
      <c r="N37" s="5">
        <f t="shared" si="22"/>
        <v>0.94838709677419353</v>
      </c>
      <c r="O37" s="5">
        <f t="shared" si="22"/>
        <v>0.93548387096774188</v>
      </c>
      <c r="P37" s="5">
        <f t="shared" si="22"/>
        <v>0.95483870967741935</v>
      </c>
      <c r="Q37" s="5">
        <f t="shared" si="22"/>
        <v>0.88387096774193541</v>
      </c>
      <c r="R37" s="5">
        <f t="shared" si="22"/>
        <v>0.8774193548387097</v>
      </c>
      <c r="S37" s="5">
        <f t="shared" si="22"/>
        <v>0.89677419354838717</v>
      </c>
      <c r="V37" s="5">
        <f t="shared" si="18"/>
        <v>0.87096774193548399</v>
      </c>
      <c r="W37" s="5">
        <f t="shared" si="18"/>
        <v>0.89677419354838706</v>
      </c>
      <c r="X37" s="5">
        <f t="shared" si="18"/>
        <v>0.92258064516129024</v>
      </c>
      <c r="Y37" s="5">
        <f t="shared" si="18"/>
        <v>0.90967741935483859</v>
      </c>
      <c r="Z37" s="5">
        <f t="shared" si="18"/>
        <v>0.95483870967741935</v>
      </c>
      <c r="AF37" s="5">
        <f t="shared" si="19"/>
        <v>0.92258064516129024</v>
      </c>
    </row>
    <row r="38" spans="1:33" x14ac:dyDescent="0.25">
      <c r="A38" s="4">
        <v>1</v>
      </c>
      <c r="D38" s="5">
        <f t="shared" si="21"/>
        <v>0.967741935483871</v>
      </c>
      <c r="E38" s="5">
        <f t="shared" si="16"/>
        <v>0.97419354838709671</v>
      </c>
      <c r="F38" s="5">
        <f t="shared" si="16"/>
        <v>0.99354838709677429</v>
      </c>
      <c r="G38" s="5">
        <f t="shared" si="16"/>
        <v>0.98709677419354835</v>
      </c>
      <c r="H38" s="5">
        <f t="shared" si="16"/>
        <v>0.97419354838709671</v>
      </c>
      <c r="I38" s="5">
        <f t="shared" si="16"/>
        <v>0.97419354838709682</v>
      </c>
      <c r="J38" s="5">
        <f t="shared" si="16"/>
        <v>0.94838709677419353</v>
      </c>
      <c r="M38" s="5">
        <f t="shared" si="22"/>
        <v>0.99354838709677429</v>
      </c>
      <c r="N38" s="5">
        <f t="shared" si="22"/>
        <v>0.967741935483871</v>
      </c>
      <c r="O38" s="5">
        <f t="shared" si="22"/>
        <v>0.97419354838709671</v>
      </c>
      <c r="P38" s="5">
        <f t="shared" si="22"/>
        <v>0.98709677419354835</v>
      </c>
      <c r="Q38" s="5">
        <f t="shared" si="22"/>
        <v>0.97419354838709671</v>
      </c>
      <c r="R38" s="5">
        <f t="shared" si="22"/>
        <v>0.94838709677419353</v>
      </c>
      <c r="S38" s="5">
        <f t="shared" si="22"/>
        <v>0.97419354838709682</v>
      </c>
      <c r="V38" s="5">
        <f t="shared" si="18"/>
        <v>0.94193548387096782</v>
      </c>
      <c r="W38" s="5">
        <f t="shared" si="18"/>
        <v>0.97419354838709671</v>
      </c>
      <c r="X38" s="5">
        <f t="shared" si="18"/>
        <v>0.98064516129032253</v>
      </c>
      <c r="Y38" s="5">
        <f t="shared" si="18"/>
        <v>0.97419354838709671</v>
      </c>
      <c r="Z38" s="5">
        <f t="shared" si="18"/>
        <v>0.99354838709677418</v>
      </c>
      <c r="AF38" s="5">
        <f t="shared" si="19"/>
        <v>0.98064516129032253</v>
      </c>
    </row>
    <row r="39" spans="1:33" x14ac:dyDescent="0.25">
      <c r="A39" s="4">
        <v>1</v>
      </c>
      <c r="D39" s="5">
        <f t="shared" si="21"/>
        <v>1</v>
      </c>
      <c r="E39" s="5">
        <f t="shared" si="16"/>
        <v>0.99999999999999989</v>
      </c>
      <c r="F39" s="5">
        <f t="shared" si="16"/>
        <v>1</v>
      </c>
      <c r="G39" s="5">
        <f t="shared" si="16"/>
        <v>1</v>
      </c>
      <c r="H39" s="5">
        <f t="shared" si="16"/>
        <v>0.99999999999999989</v>
      </c>
      <c r="I39" s="5">
        <f t="shared" si="16"/>
        <v>1</v>
      </c>
      <c r="J39" s="5">
        <f t="shared" si="16"/>
        <v>1</v>
      </c>
    </row>
    <row r="40" spans="1:33" x14ac:dyDescent="0.25">
      <c r="A40" s="4">
        <v>1</v>
      </c>
    </row>
    <row r="41" spans="1:33" x14ac:dyDescent="0.25">
      <c r="A41" s="4">
        <v>1</v>
      </c>
    </row>
    <row r="42" spans="1:33" x14ac:dyDescent="0.25">
      <c r="A42" s="4">
        <v>1</v>
      </c>
    </row>
    <row r="43" spans="1:33" x14ac:dyDescent="0.25">
      <c r="A43" s="4">
        <v>1</v>
      </c>
      <c r="C43" s="2" t="s">
        <v>27</v>
      </c>
      <c r="D43" s="1" t="s">
        <v>0</v>
      </c>
      <c r="E43" s="1" t="s">
        <v>1</v>
      </c>
      <c r="F43" s="1" t="s">
        <v>2</v>
      </c>
      <c r="G43" s="1" t="s">
        <v>3</v>
      </c>
      <c r="H43" s="1" t="s">
        <v>4</v>
      </c>
      <c r="I43" s="1" t="s">
        <v>5</v>
      </c>
      <c r="J43" s="1" t="s">
        <v>6</v>
      </c>
      <c r="L43" s="2" t="s">
        <v>27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V43" s="1" t="s">
        <v>14</v>
      </c>
      <c r="W43" s="1" t="s">
        <v>15</v>
      </c>
      <c r="X43" s="1" t="s">
        <v>16</v>
      </c>
      <c r="Y43" s="1" t="s">
        <v>17</v>
      </c>
      <c r="Z43" s="1" t="s">
        <v>18</v>
      </c>
      <c r="AF43" s="1" t="s">
        <v>16</v>
      </c>
    </row>
    <row r="44" spans="1:33" x14ac:dyDescent="0.25">
      <c r="A44" s="4">
        <v>1</v>
      </c>
      <c r="C44" s="1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L44" s="1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U44" s="1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E44" s="1">
        <v>0</v>
      </c>
      <c r="AF44" s="5">
        <v>0</v>
      </c>
      <c r="AG44" s="5">
        <v>0</v>
      </c>
    </row>
    <row r="45" spans="1:33" x14ac:dyDescent="0.25">
      <c r="A45" s="4">
        <v>1</v>
      </c>
      <c r="C45" s="1">
        <v>1</v>
      </c>
      <c r="D45" s="5">
        <v>0.25806451612903197</v>
      </c>
      <c r="E45" s="5">
        <v>0.28387096774193499</v>
      </c>
      <c r="F45" s="5">
        <v>0.29032258064516098</v>
      </c>
      <c r="G45" s="5">
        <v>0.33548387096774201</v>
      </c>
      <c r="H45" s="5">
        <v>0.309677419354839</v>
      </c>
      <c r="I45" s="5">
        <v>0.29032258064516098</v>
      </c>
      <c r="J45" s="5">
        <v>0.28387096774193499</v>
      </c>
      <c r="L45" s="1">
        <v>1</v>
      </c>
      <c r="M45" s="5">
        <v>0.29032258064516098</v>
      </c>
      <c r="N45" s="5">
        <v>0.28387096774193499</v>
      </c>
      <c r="O45" s="5">
        <v>0.30322580645161301</v>
      </c>
      <c r="P45" s="5">
        <v>0.32903225806451603</v>
      </c>
      <c r="Q45" s="5">
        <v>0.309677419354839</v>
      </c>
      <c r="R45" s="5">
        <v>0.30322580645161301</v>
      </c>
      <c r="S45" s="5">
        <v>0.29032258064516098</v>
      </c>
      <c r="U45" s="1">
        <v>1</v>
      </c>
      <c r="V45" s="5">
        <v>0.31105990783410198</v>
      </c>
      <c r="W45" s="5">
        <v>0.31267281105990802</v>
      </c>
      <c r="X45" s="5">
        <v>0.314285714285715</v>
      </c>
      <c r="Y45" s="5">
        <v>0.31589861751152098</v>
      </c>
      <c r="Z45" s="5">
        <v>0.32258064516128998</v>
      </c>
      <c r="AE45" s="1">
        <v>1</v>
      </c>
      <c r="AF45" s="5">
        <v>0.31419999999999998</v>
      </c>
      <c r="AG45" s="5">
        <v>0.32250000000000001</v>
      </c>
    </row>
    <row r="46" spans="1:33" x14ac:dyDescent="0.25">
      <c r="A46" s="4">
        <v>1</v>
      </c>
      <c r="C46" s="1">
        <v>2</v>
      </c>
      <c r="D46" s="5">
        <v>0.4</v>
      </c>
      <c r="E46" s="5">
        <v>0.41935483870967699</v>
      </c>
      <c r="F46" s="5">
        <v>0.46451612903225797</v>
      </c>
      <c r="G46" s="5">
        <v>0.483870967741935</v>
      </c>
      <c r="H46" s="5">
        <v>0.46451612903225797</v>
      </c>
      <c r="I46" s="5">
        <v>0.445161290322581</v>
      </c>
      <c r="J46" s="5">
        <v>0.43225806451612903</v>
      </c>
      <c r="L46" s="1">
        <v>2</v>
      </c>
      <c r="M46" s="5">
        <v>0.45161290322580599</v>
      </c>
      <c r="N46" s="5">
        <v>0.445161290322581</v>
      </c>
      <c r="O46" s="5">
        <v>0.43870967741935502</v>
      </c>
      <c r="P46" s="5">
        <v>0.49032258064516099</v>
      </c>
      <c r="Q46" s="5">
        <v>0.46451612903225797</v>
      </c>
      <c r="R46" s="5">
        <v>0.45161290322580599</v>
      </c>
      <c r="S46" s="5">
        <v>0.445161290322581</v>
      </c>
      <c r="U46" s="1">
        <v>2</v>
      </c>
      <c r="V46" s="5">
        <v>0.36774193548387102</v>
      </c>
      <c r="W46" s="5">
        <v>0.43870967741935502</v>
      </c>
      <c r="X46" s="5">
        <v>0.49032258064516099</v>
      </c>
      <c r="Y46" s="5">
        <v>0.50322580645161297</v>
      </c>
      <c r="Z46" s="5">
        <v>0.50322580645161297</v>
      </c>
      <c r="AE46" s="1">
        <v>2</v>
      </c>
      <c r="AF46" s="5">
        <v>0.49</v>
      </c>
      <c r="AG46" s="5">
        <v>0.50319999999999998</v>
      </c>
    </row>
    <row r="47" spans="1:33" x14ac:dyDescent="0.25">
      <c r="A47" s="4">
        <v>1</v>
      </c>
      <c r="C47" s="1">
        <v>3</v>
      </c>
      <c r="D47" s="5">
        <v>0.445161290322581</v>
      </c>
      <c r="E47" s="5">
        <v>0.46451612903225797</v>
      </c>
      <c r="F47" s="5">
        <v>0.51612903225806495</v>
      </c>
      <c r="G47" s="5">
        <v>0.54838709677419395</v>
      </c>
      <c r="H47" s="5">
        <v>0.52258064516128999</v>
      </c>
      <c r="I47" s="5">
        <v>0.50322580645161297</v>
      </c>
      <c r="J47" s="5">
        <v>0.483870967741936</v>
      </c>
      <c r="L47" s="1">
        <v>3</v>
      </c>
      <c r="M47" s="5">
        <v>0.50322580645161297</v>
      </c>
      <c r="N47" s="5">
        <v>0.49032258064516099</v>
      </c>
      <c r="O47" s="5">
        <v>0.483870967741935</v>
      </c>
      <c r="P47" s="5">
        <v>0.56774193548387097</v>
      </c>
      <c r="Q47" s="5">
        <v>0.52258064516128999</v>
      </c>
      <c r="R47" s="5">
        <v>0.50322580645161297</v>
      </c>
      <c r="S47" s="5">
        <v>0.50322580645161297</v>
      </c>
      <c r="U47" s="1">
        <v>3</v>
      </c>
      <c r="V47" s="5">
        <v>0.412903225806452</v>
      </c>
      <c r="W47" s="5">
        <v>0.483870967741936</v>
      </c>
      <c r="X47" s="5">
        <v>0.57419354838709602</v>
      </c>
      <c r="Y47" s="5">
        <v>0.57419354838709702</v>
      </c>
      <c r="Z47" s="5">
        <v>0.58064516129032195</v>
      </c>
      <c r="AE47" s="1">
        <v>3</v>
      </c>
      <c r="AF47" s="5">
        <v>0.57410000000000005</v>
      </c>
      <c r="AG47" s="5">
        <v>0.57999999999999996</v>
      </c>
    </row>
    <row r="48" spans="1:33" x14ac:dyDescent="0.25">
      <c r="A48" s="4">
        <v>1</v>
      </c>
      <c r="C48" s="1">
        <v>4</v>
      </c>
      <c r="D48" s="5">
        <v>0.51612903225806495</v>
      </c>
      <c r="E48" s="5">
        <v>0.52258064516128999</v>
      </c>
      <c r="F48" s="5">
        <v>0.56129032258064504</v>
      </c>
      <c r="G48" s="5">
        <v>0.619354838709677</v>
      </c>
      <c r="H48" s="5">
        <v>0.59354838709677404</v>
      </c>
      <c r="I48" s="5">
        <v>0.56129032258064504</v>
      </c>
      <c r="J48" s="5">
        <v>0.54838709677419395</v>
      </c>
      <c r="L48" s="1">
        <v>4</v>
      </c>
      <c r="M48" s="5">
        <v>0.54838709677419395</v>
      </c>
      <c r="N48" s="5">
        <v>0.56129032258064504</v>
      </c>
      <c r="O48" s="5">
        <v>0.54193548387096802</v>
      </c>
      <c r="P48" s="5">
        <v>0.63870967741935503</v>
      </c>
      <c r="Q48" s="5">
        <v>0.59354838709677404</v>
      </c>
      <c r="R48" s="5">
        <v>0.6</v>
      </c>
      <c r="S48" s="5">
        <v>0.56129032258064504</v>
      </c>
      <c r="U48" s="1">
        <v>4</v>
      </c>
      <c r="V48" s="5">
        <v>0.483870967741936</v>
      </c>
      <c r="W48" s="5">
        <v>0.54193548387096802</v>
      </c>
      <c r="X48" s="5">
        <v>0.64516129032257996</v>
      </c>
      <c r="Y48" s="5">
        <v>0.64516129032258096</v>
      </c>
      <c r="Z48" s="5">
        <v>0.67741935483870896</v>
      </c>
      <c r="AE48" s="1">
        <v>4</v>
      </c>
      <c r="AF48" s="5">
        <v>0.64510000000000001</v>
      </c>
      <c r="AG48" s="5">
        <v>0.67741935483870896</v>
      </c>
    </row>
    <row r="49" spans="1:33" x14ac:dyDescent="0.25">
      <c r="A49" s="4">
        <v>1</v>
      </c>
      <c r="C49" s="1">
        <v>5</v>
      </c>
      <c r="D49" s="5">
        <v>0.52258064516128999</v>
      </c>
      <c r="E49" s="5">
        <v>0.53548387096774197</v>
      </c>
      <c r="F49" s="5">
        <v>0.61290322580645196</v>
      </c>
      <c r="G49" s="5">
        <v>0.64516129032258096</v>
      </c>
      <c r="H49" s="5">
        <v>0.64516129032257996</v>
      </c>
      <c r="I49" s="5">
        <v>0.63225806451612898</v>
      </c>
      <c r="J49" s="5">
        <v>0.59354838709677504</v>
      </c>
      <c r="L49" s="1">
        <v>5</v>
      </c>
      <c r="M49" s="5">
        <v>0.6</v>
      </c>
      <c r="N49" s="5">
        <v>0.56774193548387097</v>
      </c>
      <c r="O49" s="5">
        <v>0.554838709677419</v>
      </c>
      <c r="P49" s="5">
        <v>0.66451612903225799</v>
      </c>
      <c r="Q49" s="5">
        <v>0.64516129032258096</v>
      </c>
      <c r="R49" s="5">
        <v>0.64516129032258096</v>
      </c>
      <c r="S49" s="5">
        <v>0.63225806451612898</v>
      </c>
      <c r="U49" s="1">
        <v>5</v>
      </c>
      <c r="V49" s="5">
        <v>0.49032258064516099</v>
      </c>
      <c r="W49" s="5">
        <v>0.55483870967741999</v>
      </c>
      <c r="X49" s="5">
        <v>0.67096774193548403</v>
      </c>
      <c r="Y49" s="5">
        <v>0.69677419354838699</v>
      </c>
      <c r="Z49" s="5">
        <v>0.72258064516128995</v>
      </c>
      <c r="AE49" s="1">
        <v>5</v>
      </c>
      <c r="AF49" s="5">
        <v>0.67090000000000005</v>
      </c>
      <c r="AG49" s="5">
        <v>0.72250000000000003</v>
      </c>
    </row>
    <row r="50" spans="1:33" x14ac:dyDescent="0.25">
      <c r="A50" s="4">
        <v>1</v>
      </c>
      <c r="C50" s="1">
        <v>10</v>
      </c>
      <c r="D50" s="5">
        <v>0.59354838709677404</v>
      </c>
      <c r="E50" s="5">
        <v>0.60645161290322602</v>
      </c>
      <c r="F50" s="5">
        <v>0.69032258064516205</v>
      </c>
      <c r="G50" s="5">
        <v>0.73548387096774204</v>
      </c>
      <c r="H50" s="5">
        <v>0.72903225806451599</v>
      </c>
      <c r="I50" s="5">
        <v>0.72903225806451599</v>
      </c>
      <c r="J50" s="5">
        <v>0.69677419354838799</v>
      </c>
      <c r="L50" s="1">
        <v>10</v>
      </c>
      <c r="M50" s="5">
        <v>0.68387096774193501</v>
      </c>
      <c r="N50" s="5">
        <v>0.63870967741935503</v>
      </c>
      <c r="O50" s="5">
        <v>0.63225806451612898</v>
      </c>
      <c r="P50" s="5">
        <v>0.72903225806451599</v>
      </c>
      <c r="Q50" s="5">
        <v>0.72903225806451599</v>
      </c>
      <c r="R50" s="5">
        <v>0.68387096774193601</v>
      </c>
      <c r="S50" s="5">
        <v>0.72258064516128995</v>
      </c>
      <c r="U50" s="1">
        <v>10</v>
      </c>
      <c r="V50" s="5">
        <v>0.56129032258064504</v>
      </c>
      <c r="W50" s="5">
        <v>0.63225806451612898</v>
      </c>
      <c r="X50" s="5">
        <v>0.73548387096774204</v>
      </c>
      <c r="Y50" s="5">
        <v>0.75483870967741895</v>
      </c>
      <c r="Z50" s="5">
        <v>0.761290322580645</v>
      </c>
      <c r="AE50" s="1">
        <v>10</v>
      </c>
      <c r="AF50" s="5">
        <v>0.73540000000000005</v>
      </c>
      <c r="AG50" s="5">
        <v>0.76119999999999999</v>
      </c>
    </row>
    <row r="51" spans="1:33" x14ac:dyDescent="0.25">
      <c r="A51" s="4">
        <v>1</v>
      </c>
      <c r="C51" s="1">
        <v>20</v>
      </c>
      <c r="D51" s="5">
        <v>0.70967741935483897</v>
      </c>
      <c r="E51" s="5">
        <v>0.72903225806451599</v>
      </c>
      <c r="F51" s="5">
        <v>0.74193548387096797</v>
      </c>
      <c r="G51" s="5">
        <v>0.793548387096774</v>
      </c>
      <c r="H51" s="5">
        <v>0.761290322580645</v>
      </c>
      <c r="I51" s="5">
        <v>0.761290322580645</v>
      </c>
      <c r="J51" s="5">
        <v>0.72903225806451699</v>
      </c>
      <c r="L51" s="1">
        <v>20</v>
      </c>
      <c r="M51" s="5">
        <v>0.74838709677419402</v>
      </c>
      <c r="N51" s="5">
        <v>0.75483870967741995</v>
      </c>
      <c r="O51" s="5">
        <v>0.75483870967741895</v>
      </c>
      <c r="P51" s="5">
        <v>0.78064516129032302</v>
      </c>
      <c r="Q51" s="5">
        <v>0.761290322580645</v>
      </c>
      <c r="R51" s="5">
        <v>0.71612903225806501</v>
      </c>
      <c r="S51" s="5">
        <v>0.75483870967741895</v>
      </c>
      <c r="U51" s="1">
        <v>20</v>
      </c>
      <c r="V51" s="5">
        <v>0.67741935483870996</v>
      </c>
      <c r="W51" s="5">
        <v>0.75483870967741895</v>
      </c>
      <c r="X51" s="5">
        <v>0.78709677419354795</v>
      </c>
      <c r="Y51" s="5">
        <v>0.78709677419354795</v>
      </c>
      <c r="Z51" s="5">
        <v>0.793548387096774</v>
      </c>
      <c r="AE51" s="1">
        <v>20</v>
      </c>
      <c r="AF51" s="5">
        <v>0.78700000000000003</v>
      </c>
      <c r="AG51" s="5">
        <v>0.79349999999999998</v>
      </c>
    </row>
    <row r="52" spans="1:33" x14ac:dyDescent="0.25">
      <c r="A52" s="4">
        <v>1</v>
      </c>
      <c r="C52" s="1">
        <v>30</v>
      </c>
      <c r="D52" s="5">
        <v>0.80645161290322698</v>
      </c>
      <c r="E52" s="5">
        <v>0.80645161290322598</v>
      </c>
      <c r="F52" s="5">
        <v>0.85161290322580696</v>
      </c>
      <c r="G52" s="5">
        <v>0.84516129032258103</v>
      </c>
      <c r="H52" s="5">
        <v>0.83870967741935498</v>
      </c>
      <c r="I52" s="5">
        <v>0.78064516129032302</v>
      </c>
      <c r="J52" s="5">
        <v>0.76774193548387204</v>
      </c>
      <c r="L52" s="1">
        <v>30</v>
      </c>
      <c r="M52" s="5">
        <v>0.85806451612903301</v>
      </c>
      <c r="N52" s="5">
        <v>0.85161290322580696</v>
      </c>
      <c r="O52" s="5">
        <v>0.83225806451612805</v>
      </c>
      <c r="P52" s="5">
        <v>0.83225806451612905</v>
      </c>
      <c r="Q52" s="5">
        <v>0.83870967741935498</v>
      </c>
      <c r="R52" s="5">
        <v>0.76774193548387104</v>
      </c>
      <c r="S52" s="5">
        <v>0.793548387096774</v>
      </c>
      <c r="U52" s="1">
        <v>30</v>
      </c>
      <c r="V52" s="5">
        <v>0.77419354838709697</v>
      </c>
      <c r="W52" s="5">
        <v>0.793548387096774</v>
      </c>
      <c r="X52" s="5">
        <v>0.83870967741935498</v>
      </c>
      <c r="Y52" s="5">
        <v>0.86451612903225805</v>
      </c>
      <c r="Z52" s="5">
        <v>0.84516129032258003</v>
      </c>
      <c r="AE52" s="1">
        <v>30</v>
      </c>
      <c r="AF52" s="5">
        <v>0.8387</v>
      </c>
      <c r="AG52" s="5">
        <v>0.84509999999999996</v>
      </c>
    </row>
    <row r="53" spans="1:33" x14ac:dyDescent="0.25">
      <c r="A53" s="4">
        <v>1</v>
      </c>
      <c r="B53" s="5">
        <v>51</v>
      </c>
      <c r="C53" s="1">
        <v>40</v>
      </c>
      <c r="D53" s="5">
        <v>0.85806451612903301</v>
      </c>
      <c r="E53" s="5">
        <v>0.87741935483871003</v>
      </c>
      <c r="F53" s="5">
        <v>0.87096774193548399</v>
      </c>
      <c r="G53" s="5">
        <v>0.92258064516129001</v>
      </c>
      <c r="H53" s="5">
        <v>0.85161290322580596</v>
      </c>
      <c r="I53" s="5">
        <v>0.84516129032258103</v>
      </c>
      <c r="J53" s="5">
        <v>0.81290322580645202</v>
      </c>
      <c r="L53" s="1">
        <v>40</v>
      </c>
      <c r="M53" s="5">
        <v>0.90967741935483903</v>
      </c>
      <c r="N53" s="5">
        <v>0.90322580645161299</v>
      </c>
      <c r="O53" s="5">
        <v>0.90322580645161199</v>
      </c>
      <c r="P53" s="5">
        <v>0.90967741935483903</v>
      </c>
      <c r="Q53" s="5">
        <v>0.85161290322580696</v>
      </c>
      <c r="R53" s="5">
        <v>0.81935483870967796</v>
      </c>
      <c r="S53" s="5">
        <v>0.85806451612903201</v>
      </c>
      <c r="U53" s="1">
        <v>40</v>
      </c>
      <c r="V53" s="5">
        <v>0.825806451612903</v>
      </c>
      <c r="W53" s="5">
        <v>0.86451612903225805</v>
      </c>
      <c r="X53" s="5">
        <v>0.88387096774193497</v>
      </c>
      <c r="Y53" s="5">
        <v>0.87741935483871003</v>
      </c>
      <c r="Z53" s="5">
        <v>0.89677419354838706</v>
      </c>
      <c r="AE53" s="1">
        <v>40</v>
      </c>
      <c r="AF53" s="5">
        <v>0.88380000000000003</v>
      </c>
      <c r="AG53" s="5">
        <v>0.89670000000000005</v>
      </c>
    </row>
    <row r="54" spans="1:33" x14ac:dyDescent="0.25">
      <c r="A54" s="4">
        <v>2</v>
      </c>
      <c r="C54" s="1">
        <v>50</v>
      </c>
      <c r="D54" s="5">
        <v>0.90322580645161399</v>
      </c>
      <c r="E54" s="5">
        <v>0.90967741935483903</v>
      </c>
      <c r="F54" s="5">
        <v>0.93548387096774299</v>
      </c>
      <c r="G54" s="5">
        <v>0.967741935483871</v>
      </c>
      <c r="H54" s="5">
        <v>0.88387096774193497</v>
      </c>
      <c r="I54" s="5">
        <v>0.88387096774193596</v>
      </c>
      <c r="J54" s="5">
        <v>0.87096774193548498</v>
      </c>
      <c r="L54" s="1">
        <v>50</v>
      </c>
      <c r="M54" s="5">
        <v>0.94193548387096804</v>
      </c>
      <c r="N54" s="5">
        <v>0.94838709677419397</v>
      </c>
      <c r="O54" s="5">
        <v>0.93548387096774099</v>
      </c>
      <c r="P54" s="5">
        <v>0.95483870967741902</v>
      </c>
      <c r="Q54" s="5">
        <v>0.88387096774193596</v>
      </c>
      <c r="R54" s="5">
        <v>0.87741935483871003</v>
      </c>
      <c r="S54" s="5">
        <v>0.89677419354838706</v>
      </c>
      <c r="U54" s="1">
        <v>50</v>
      </c>
      <c r="V54" s="5">
        <v>0.87096774193548399</v>
      </c>
      <c r="W54" s="5">
        <v>0.89677419354838706</v>
      </c>
      <c r="X54" s="5">
        <v>0.92258064516129001</v>
      </c>
      <c r="Y54" s="5">
        <v>0.90967741935483903</v>
      </c>
      <c r="Z54" s="5">
        <v>0.95483870967741902</v>
      </c>
      <c r="AE54" s="1">
        <v>50</v>
      </c>
      <c r="AF54" s="5">
        <v>0.92249999999999999</v>
      </c>
      <c r="AG54" s="5">
        <v>0.95479999999999998</v>
      </c>
    </row>
    <row r="55" spans="1:33" x14ac:dyDescent="0.25">
      <c r="A55" s="4">
        <v>2</v>
      </c>
      <c r="C55" s="1">
        <v>60</v>
      </c>
      <c r="D55" s="5">
        <v>0.967741935483872</v>
      </c>
      <c r="E55" s="5">
        <v>0.97419354838709704</v>
      </c>
      <c r="F55" s="5">
        <v>0.99354838709677495</v>
      </c>
      <c r="G55" s="5">
        <v>0.98709677419354802</v>
      </c>
      <c r="H55" s="5">
        <v>0.97419354838709604</v>
      </c>
      <c r="I55" s="5">
        <v>0.97419354838709704</v>
      </c>
      <c r="J55" s="5">
        <v>0.94838709677419397</v>
      </c>
      <c r="L55" s="1">
        <v>60</v>
      </c>
      <c r="M55" s="5">
        <v>0.99354838709677495</v>
      </c>
      <c r="N55" s="5">
        <v>0.967741935483872</v>
      </c>
      <c r="O55" s="5">
        <v>0.97419354838709604</v>
      </c>
      <c r="P55" s="5">
        <v>0.98709677419354802</v>
      </c>
      <c r="Q55" s="5">
        <v>0.97419354838709704</v>
      </c>
      <c r="R55" s="5">
        <v>0.94838709677419397</v>
      </c>
      <c r="S55" s="5">
        <v>0.97419354838709704</v>
      </c>
      <c r="U55" s="1">
        <v>60</v>
      </c>
      <c r="V55" s="5">
        <v>0.94193548387096804</v>
      </c>
      <c r="W55" s="5">
        <v>0.97419354838709604</v>
      </c>
      <c r="X55" s="5">
        <v>0.98064516129032198</v>
      </c>
      <c r="Y55" s="5">
        <v>0.97419354838709704</v>
      </c>
      <c r="Z55" s="5">
        <v>0.99354838709677396</v>
      </c>
      <c r="AE55" s="1">
        <v>60</v>
      </c>
      <c r="AF55" s="5">
        <v>0.98060000000000003</v>
      </c>
      <c r="AG55" s="5">
        <v>0.99350000000000005</v>
      </c>
    </row>
    <row r="56" spans="1:33" x14ac:dyDescent="0.25">
      <c r="A56" s="4">
        <v>2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</row>
    <row r="57" spans="1:33" x14ac:dyDescent="0.25">
      <c r="A57" s="4">
        <v>2</v>
      </c>
    </row>
    <row r="58" spans="1:33" x14ac:dyDescent="0.25">
      <c r="A58" s="4">
        <v>2</v>
      </c>
    </row>
    <row r="59" spans="1:33" x14ac:dyDescent="0.25">
      <c r="A59" s="4">
        <v>2</v>
      </c>
    </row>
    <row r="60" spans="1:33" x14ac:dyDescent="0.25">
      <c r="A60" s="4">
        <v>2</v>
      </c>
    </row>
    <row r="61" spans="1:33" x14ac:dyDescent="0.25">
      <c r="A61" s="4">
        <v>2</v>
      </c>
    </row>
    <row r="62" spans="1:33" x14ac:dyDescent="0.25">
      <c r="A62" s="4">
        <v>2</v>
      </c>
    </row>
    <row r="63" spans="1:33" x14ac:dyDescent="0.25">
      <c r="A63" s="4">
        <v>2</v>
      </c>
    </row>
    <row r="64" spans="1:33" x14ac:dyDescent="0.25">
      <c r="A64" s="4">
        <v>2</v>
      </c>
    </row>
    <row r="65" spans="1:9" x14ac:dyDescent="0.25">
      <c r="A65" s="4">
        <v>2</v>
      </c>
    </row>
    <row r="66" spans="1:9" x14ac:dyDescent="0.25">
      <c r="A66" s="4">
        <v>2</v>
      </c>
    </row>
    <row r="67" spans="1:9" x14ac:dyDescent="0.25">
      <c r="A67" s="4">
        <v>2</v>
      </c>
    </row>
    <row r="68" spans="1:9" x14ac:dyDescent="0.25">
      <c r="A68" s="4">
        <v>2</v>
      </c>
    </row>
    <row r="69" spans="1:9" x14ac:dyDescent="0.25">
      <c r="A69" s="4">
        <v>2</v>
      </c>
    </row>
    <row r="70" spans="1:9" x14ac:dyDescent="0.25">
      <c r="A70" s="4">
        <v>2</v>
      </c>
    </row>
    <row r="71" spans="1:9" x14ac:dyDescent="0.25">
      <c r="A71" s="4">
        <v>2</v>
      </c>
    </row>
    <row r="72" spans="1:9" x14ac:dyDescent="0.25">
      <c r="A72" s="4">
        <v>2</v>
      </c>
    </row>
    <row r="73" spans="1:9" x14ac:dyDescent="0.25">
      <c r="A73" s="4">
        <v>2</v>
      </c>
    </row>
    <row r="74" spans="1:9" x14ac:dyDescent="0.25">
      <c r="A74" s="4">
        <v>2</v>
      </c>
      <c r="B74" s="5">
        <v>21</v>
      </c>
    </row>
    <row r="75" spans="1:9" x14ac:dyDescent="0.25">
      <c r="A75" s="4">
        <v>3</v>
      </c>
    </row>
    <row r="76" spans="1:9" x14ac:dyDescent="0.25">
      <c r="A76" s="4">
        <v>3</v>
      </c>
    </row>
    <row r="77" spans="1:9" x14ac:dyDescent="0.25">
      <c r="A77" s="4">
        <v>3</v>
      </c>
    </row>
    <row r="78" spans="1:9" x14ac:dyDescent="0.25">
      <c r="A78" s="4">
        <v>3</v>
      </c>
    </row>
    <row r="79" spans="1:9" x14ac:dyDescent="0.25">
      <c r="A79" s="4">
        <v>3</v>
      </c>
      <c r="H79" s="5">
        <v>1</v>
      </c>
      <c r="I79" s="5">
        <v>0.32900000000000001</v>
      </c>
    </row>
    <row r="80" spans="1:9" x14ac:dyDescent="0.25">
      <c r="A80" s="4">
        <v>3</v>
      </c>
      <c r="H80" s="5">
        <v>2</v>
      </c>
      <c r="I80" s="5">
        <v>0.13500000000000001</v>
      </c>
    </row>
    <row r="81" spans="1:13" x14ac:dyDescent="0.25">
      <c r="A81" s="4">
        <v>3</v>
      </c>
      <c r="H81" s="5">
        <v>3</v>
      </c>
      <c r="I81" s="5">
        <v>8.3000000000000004E-2</v>
      </c>
    </row>
    <row r="82" spans="1:13" x14ac:dyDescent="0.25">
      <c r="A82" s="4">
        <v>3</v>
      </c>
      <c r="H82" s="5">
        <v>5</v>
      </c>
      <c r="I82" s="5">
        <v>9.6000000000000002E-2</v>
      </c>
    </row>
    <row r="83" spans="1:13" x14ac:dyDescent="0.25">
      <c r="A83" s="4">
        <v>3</v>
      </c>
    </row>
    <row r="84" spans="1:13" x14ac:dyDescent="0.25">
      <c r="A84" s="4">
        <v>3</v>
      </c>
    </row>
    <row r="85" spans="1:13" x14ac:dyDescent="0.25">
      <c r="A85" s="4">
        <v>3</v>
      </c>
      <c r="L85" s="5">
        <v>0</v>
      </c>
      <c r="M85" s="5">
        <v>0</v>
      </c>
    </row>
    <row r="86" spans="1:13" x14ac:dyDescent="0.25">
      <c r="A86" s="4">
        <v>3</v>
      </c>
      <c r="H86" s="5">
        <v>1</v>
      </c>
      <c r="I86" s="5">
        <v>0.71889999999999998</v>
      </c>
      <c r="L86" s="5">
        <v>1</v>
      </c>
      <c r="M86" s="5">
        <v>0.71889999999999998</v>
      </c>
    </row>
    <row r="87" spans="1:13" x14ac:dyDescent="0.25">
      <c r="A87" s="4">
        <v>3</v>
      </c>
      <c r="B87" s="5">
        <v>13</v>
      </c>
      <c r="H87" s="5">
        <v>10</v>
      </c>
      <c r="I87" s="5">
        <v>7.8E-2</v>
      </c>
      <c r="L87" s="5">
        <v>10</v>
      </c>
      <c r="M87" s="5">
        <f>0.078+M86</f>
        <v>0.79689999999999994</v>
      </c>
    </row>
    <row r="88" spans="1:13" x14ac:dyDescent="0.25">
      <c r="A88" s="4">
        <v>4</v>
      </c>
      <c r="H88" s="5">
        <v>20</v>
      </c>
      <c r="I88" s="5">
        <v>1.9E-2</v>
      </c>
      <c r="L88" s="5">
        <v>20</v>
      </c>
      <c r="M88" s="5">
        <f>0.019+M87</f>
        <v>0.81589999999999996</v>
      </c>
    </row>
    <row r="89" spans="1:13" x14ac:dyDescent="0.25">
      <c r="A89" s="4">
        <v>4</v>
      </c>
      <c r="H89" s="5">
        <v>30</v>
      </c>
      <c r="I89" s="5">
        <v>6.0000000000000001E-3</v>
      </c>
      <c r="L89" s="5">
        <v>30</v>
      </c>
      <c r="M89" s="5">
        <f>0.006+M88</f>
        <v>0.82189999999999996</v>
      </c>
    </row>
    <row r="90" spans="1:13" x14ac:dyDescent="0.25">
      <c r="A90" s="4">
        <v>4</v>
      </c>
      <c r="H90" s="5">
        <v>40</v>
      </c>
      <c r="I90" s="5">
        <v>8.4000000000000005E-2</v>
      </c>
      <c r="L90" s="5">
        <v>40</v>
      </c>
      <c r="M90" s="5">
        <f>M89+0.084</f>
        <v>0.90589999999999993</v>
      </c>
    </row>
    <row r="91" spans="1:13" x14ac:dyDescent="0.25">
      <c r="A91" s="4">
        <v>4</v>
      </c>
      <c r="H91" s="5">
        <v>50</v>
      </c>
      <c r="I91" s="5">
        <v>8.4000000000000005E-2</v>
      </c>
      <c r="L91" s="5">
        <v>50</v>
      </c>
      <c r="M91" s="5">
        <f>0.084+M90</f>
        <v>0.98989999999999989</v>
      </c>
    </row>
    <row r="92" spans="1:13" x14ac:dyDescent="0.25">
      <c r="A92" s="4">
        <v>4</v>
      </c>
      <c r="H92" s="5">
        <v>60</v>
      </c>
      <c r="I92" s="5">
        <f>1-SUM(I86:I91)</f>
        <v>1.0100000000000109E-2</v>
      </c>
      <c r="L92" s="5">
        <v>60</v>
      </c>
      <c r="M92" s="5">
        <v>1</v>
      </c>
    </row>
    <row r="93" spans="1:13" x14ac:dyDescent="0.25">
      <c r="A93" s="4">
        <v>4</v>
      </c>
    </row>
    <row r="94" spans="1:13" x14ac:dyDescent="0.25">
      <c r="A94" s="4">
        <v>4</v>
      </c>
    </row>
    <row r="95" spans="1:13" x14ac:dyDescent="0.25">
      <c r="A95" s="4">
        <v>4</v>
      </c>
      <c r="B95" s="5">
        <v>8</v>
      </c>
    </row>
    <row r="96" spans="1:13" x14ac:dyDescent="0.25">
      <c r="A96" s="4">
        <v>5</v>
      </c>
    </row>
    <row r="97" spans="1:2" x14ac:dyDescent="0.25">
      <c r="A97" s="4">
        <v>5</v>
      </c>
    </row>
    <row r="98" spans="1:2" x14ac:dyDescent="0.25">
      <c r="A98" s="4">
        <v>5</v>
      </c>
    </row>
    <row r="99" spans="1:2" x14ac:dyDescent="0.25">
      <c r="A99" s="4">
        <v>5</v>
      </c>
    </row>
    <row r="100" spans="1:2" x14ac:dyDescent="0.25">
      <c r="A100" s="4">
        <v>5</v>
      </c>
    </row>
    <row r="101" spans="1:2" x14ac:dyDescent="0.25">
      <c r="A101" s="4">
        <v>5</v>
      </c>
    </row>
    <row r="102" spans="1:2" x14ac:dyDescent="0.25">
      <c r="A102" s="4">
        <v>5</v>
      </c>
      <c r="B102" s="5">
        <v>7</v>
      </c>
    </row>
    <row r="103" spans="1:2" x14ac:dyDescent="0.25">
      <c r="A103" s="4">
        <v>6</v>
      </c>
    </row>
    <row r="104" spans="1:2" x14ac:dyDescent="0.25">
      <c r="A104" s="4">
        <v>6</v>
      </c>
    </row>
    <row r="105" spans="1:2" x14ac:dyDescent="0.25">
      <c r="A105" s="4">
        <v>6</v>
      </c>
    </row>
    <row r="106" spans="1:2" x14ac:dyDescent="0.25">
      <c r="A106" s="4">
        <v>7</v>
      </c>
    </row>
    <row r="107" spans="1:2" x14ac:dyDescent="0.25">
      <c r="A107" s="4">
        <v>7</v>
      </c>
    </row>
    <row r="108" spans="1:2" x14ac:dyDescent="0.25">
      <c r="A108" s="4">
        <v>7</v>
      </c>
    </row>
    <row r="109" spans="1:2" x14ac:dyDescent="0.25">
      <c r="A109" s="4">
        <v>8</v>
      </c>
    </row>
    <row r="110" spans="1:2" x14ac:dyDescent="0.25">
      <c r="A110" s="4">
        <v>9</v>
      </c>
    </row>
    <row r="111" spans="1:2" x14ac:dyDescent="0.25">
      <c r="A111" s="4">
        <v>9</v>
      </c>
    </row>
    <row r="112" spans="1:2" x14ac:dyDescent="0.25">
      <c r="A112" s="4">
        <v>9</v>
      </c>
    </row>
    <row r="113" spans="1:3" x14ac:dyDescent="0.25">
      <c r="A113" s="4">
        <v>10</v>
      </c>
    </row>
    <row r="114" spans="1:3" x14ac:dyDescent="0.25">
      <c r="A114" s="4">
        <v>10</v>
      </c>
    </row>
    <row r="115" spans="1:3" x14ac:dyDescent="0.25">
      <c r="A115" s="4">
        <v>10</v>
      </c>
    </row>
    <row r="116" spans="1:3" x14ac:dyDescent="0.25">
      <c r="A116" s="4">
        <v>10</v>
      </c>
      <c r="B116" s="5">
        <v>14</v>
      </c>
    </row>
    <row r="117" spans="1:3" x14ac:dyDescent="0.25">
      <c r="A117" s="4">
        <v>12</v>
      </c>
    </row>
    <row r="118" spans="1:3" x14ac:dyDescent="0.25">
      <c r="A118" s="4">
        <v>14</v>
      </c>
    </row>
    <row r="119" spans="1:3" x14ac:dyDescent="0.25">
      <c r="A119" s="4">
        <v>14</v>
      </c>
    </row>
    <row r="120" spans="1:3" x14ac:dyDescent="0.25">
      <c r="A120" s="4">
        <v>15</v>
      </c>
    </row>
    <row r="121" spans="1:3" x14ac:dyDescent="0.25">
      <c r="A121" s="4">
        <v>15</v>
      </c>
    </row>
    <row r="122" spans="1:3" x14ac:dyDescent="0.25">
      <c r="A122" s="4">
        <v>16</v>
      </c>
    </row>
    <row r="123" spans="1:3" x14ac:dyDescent="0.25">
      <c r="A123" s="4">
        <v>16</v>
      </c>
    </row>
    <row r="124" spans="1:3" x14ac:dyDescent="0.25">
      <c r="A124" s="4">
        <v>17</v>
      </c>
      <c r="B124" s="5">
        <v>8</v>
      </c>
    </row>
    <row r="125" spans="1:3" x14ac:dyDescent="0.25">
      <c r="A125" s="4">
        <v>24</v>
      </c>
    </row>
    <row r="126" spans="1:3" x14ac:dyDescent="0.25">
      <c r="A126" s="4">
        <v>26</v>
      </c>
    </row>
    <row r="127" spans="1:3" x14ac:dyDescent="0.25">
      <c r="A127" s="4">
        <v>28</v>
      </c>
      <c r="C127" s="2" t="s">
        <v>28</v>
      </c>
    </row>
    <row r="128" spans="1:3" x14ac:dyDescent="0.25">
      <c r="A128" s="4">
        <v>31</v>
      </c>
      <c r="B128" s="5">
        <v>4</v>
      </c>
      <c r="C128" s="2" t="s">
        <v>29</v>
      </c>
    </row>
    <row r="129" spans="1:2" x14ac:dyDescent="0.25">
      <c r="A129" s="4">
        <v>42</v>
      </c>
    </row>
    <row r="130" spans="1:2" x14ac:dyDescent="0.25">
      <c r="A130" s="4">
        <v>48</v>
      </c>
    </row>
    <row r="131" spans="1:2" x14ac:dyDescent="0.25">
      <c r="A131" s="4">
        <v>49</v>
      </c>
    </row>
    <row r="132" spans="1:2" x14ac:dyDescent="0.25">
      <c r="A132" s="4">
        <v>49</v>
      </c>
    </row>
    <row r="133" spans="1:2" x14ac:dyDescent="0.25">
      <c r="A133" s="4">
        <v>49</v>
      </c>
    </row>
    <row r="134" spans="1:2" x14ac:dyDescent="0.25">
      <c r="A134" s="4">
        <v>49</v>
      </c>
    </row>
    <row r="135" spans="1:2" x14ac:dyDescent="0.25">
      <c r="A135" s="4">
        <v>49</v>
      </c>
    </row>
    <row r="136" spans="1:2" x14ac:dyDescent="0.25">
      <c r="A136" s="4">
        <v>49</v>
      </c>
    </row>
    <row r="137" spans="1:2" x14ac:dyDescent="0.25">
      <c r="A137" s="4">
        <v>49</v>
      </c>
    </row>
    <row r="138" spans="1:2" x14ac:dyDescent="0.25">
      <c r="A138" s="4">
        <v>49</v>
      </c>
    </row>
    <row r="139" spans="1:2" x14ac:dyDescent="0.25">
      <c r="A139" s="4">
        <v>49</v>
      </c>
    </row>
    <row r="140" spans="1:2" x14ac:dyDescent="0.25">
      <c r="A140" s="4">
        <v>49</v>
      </c>
    </row>
    <row r="141" spans="1:2" x14ac:dyDescent="0.25">
      <c r="A141" s="4">
        <v>49</v>
      </c>
    </row>
    <row r="142" spans="1:2" x14ac:dyDescent="0.25">
      <c r="A142" s="4">
        <v>50</v>
      </c>
    </row>
    <row r="143" spans="1:2" x14ac:dyDescent="0.25">
      <c r="A143" s="4">
        <v>50</v>
      </c>
      <c r="B143" s="5">
        <v>15</v>
      </c>
    </row>
    <row r="144" spans="1:2" x14ac:dyDescent="0.25">
      <c r="A144" s="4">
        <v>51</v>
      </c>
    </row>
    <row r="145" spans="1:2" x14ac:dyDescent="0.25">
      <c r="A145" s="4">
        <v>51</v>
      </c>
    </row>
    <row r="146" spans="1:2" x14ac:dyDescent="0.25">
      <c r="A146" s="4">
        <v>51</v>
      </c>
    </row>
    <row r="147" spans="1:2" x14ac:dyDescent="0.25">
      <c r="A147" s="4">
        <v>51</v>
      </c>
    </row>
    <row r="148" spans="1:2" x14ac:dyDescent="0.25">
      <c r="A148" s="4">
        <v>52</v>
      </c>
    </row>
    <row r="149" spans="1:2" x14ac:dyDescent="0.25">
      <c r="A149" s="4">
        <v>52</v>
      </c>
    </row>
    <row r="150" spans="1:2" x14ac:dyDescent="0.25">
      <c r="A150" s="4">
        <v>53</v>
      </c>
    </row>
    <row r="151" spans="1:2" x14ac:dyDescent="0.25">
      <c r="A151" s="4">
        <v>54</v>
      </c>
    </row>
    <row r="152" spans="1:2" x14ac:dyDescent="0.25">
      <c r="A152" s="4">
        <v>55</v>
      </c>
    </row>
    <row r="153" spans="1:2" x14ac:dyDescent="0.25">
      <c r="A153" s="4">
        <v>57</v>
      </c>
    </row>
    <row r="154" spans="1:2" x14ac:dyDescent="0.25">
      <c r="A154" s="4">
        <v>59</v>
      </c>
      <c r="B154" s="5">
        <v>11</v>
      </c>
    </row>
    <row r="155" spans="1:2" x14ac:dyDescent="0.25">
      <c r="A155" s="4"/>
    </row>
    <row r="156" spans="1:2" x14ac:dyDescent="0.25">
      <c r="A156" s="4"/>
    </row>
    <row r="158" spans="1:2" x14ac:dyDescent="0.25">
      <c r="A158" s="5">
        <f>AVERAGE(A2:A157)</f>
        <v>12.137254901960784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6763F-7845-45CB-AC90-AD31D6B0B3F1}">
  <dimension ref="A1"/>
  <sheetViews>
    <sheetView tabSelected="1" workbookViewId="0"/>
  </sheetViews>
  <sheetFormatPr defaultRowHeight="14.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秦 NING</cp:lastModifiedBy>
  <dcterms:created xsi:type="dcterms:W3CDTF">2015-01-15T16:55:01Z</dcterms:created>
  <dcterms:modified xsi:type="dcterms:W3CDTF">2024-04-18T01:47:49Z</dcterms:modified>
</cp:coreProperties>
</file>